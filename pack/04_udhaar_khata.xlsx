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उधार_खाता" sheetId="1" state="visible" r:id="rId3"/>
    <sheet name="ग्राहक_सारांश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<sst xmlns="http://schemas.openxmlformats.org/spreadsheetml/2006/main" count="32" uniqueCount="20">
  <si>
    <r>
      <rPr>
        <b val="true"/>
        <sz val="14"/>
        <color rgb="FF1E7145"/>
        <rFont val="Noto Sans Devanagari"/>
        <family val="0"/>
        <charset val="1"/>
      </rPr>
      <t xml:space="preserve">उधार खाता </t>
    </r>
    <r>
      <rPr>
        <b val="true"/>
        <sz val="14"/>
        <color rgb="FF1E7145"/>
        <rFont val="Calibri"/>
        <family val="2"/>
        <charset val="1"/>
      </rPr>
      <t xml:space="preserve">(Credit Ledger)</t>
    </r>
  </si>
  <si>
    <t xml:space="preserve">हर लेन-देन एक लाइन में। बैलेंस अपने-आप चलता है।</t>
  </si>
  <si>
    <t xml:space="preserve">आज की तारीख</t>
  </si>
  <si>
    <t xml:space="preserve">ग्राहक</t>
  </si>
  <si>
    <t xml:space="preserve">तारीख</t>
  </si>
  <si>
    <r>
      <rPr>
        <b val="true"/>
        <sz val="11"/>
        <color rgb="FFFFFFFF"/>
        <rFont val="Noto Sans Devanagari"/>
        <family val="0"/>
        <charset val="1"/>
      </rPr>
      <t xml:space="preserve">उधार दिया </t>
    </r>
    <r>
      <rPr>
        <b val="true"/>
        <sz val="11"/>
        <color rgb="FFFFFFFF"/>
        <rFont val="Calibri"/>
        <family val="2"/>
        <charset val="1"/>
      </rPr>
      <t xml:space="preserve">(₹)</t>
    </r>
  </si>
  <si>
    <r>
      <rPr>
        <b val="true"/>
        <sz val="11"/>
        <color rgb="FFFFFFFF"/>
        <rFont val="Noto Sans Devanagari"/>
        <family val="0"/>
        <charset val="1"/>
      </rPr>
      <t xml:space="preserve">जमा मिला </t>
    </r>
    <r>
      <rPr>
        <b val="true"/>
        <sz val="11"/>
        <color rgb="FFFFFFFF"/>
        <rFont val="Calibri"/>
        <family val="2"/>
        <charset val="1"/>
      </rPr>
      <t xml:space="preserve">(₹)</t>
    </r>
  </si>
  <si>
    <t xml:space="preserve">ग्राहक बैलेंस</t>
  </si>
  <si>
    <t xml:space="preserve">कितने दिन</t>
  </si>
  <si>
    <t xml:space="preserve">स्थिति</t>
  </si>
  <si>
    <t xml:space="preserve">रमेश</t>
  </si>
  <si>
    <t xml:space="preserve">सीमा</t>
  </si>
  <si>
    <t xml:space="preserve">अनिल</t>
  </si>
  <si>
    <t xml:space="preserve">गीता</t>
  </si>
  <si>
    <t xml:space="preserve">कुल</t>
  </si>
  <si>
    <t xml:space="preserve">ग्राहक अनुसार बकाया</t>
  </si>
  <si>
    <t xml:space="preserve">SUMIF से हर ग्राहक का बचा हुआ पैसा</t>
  </si>
  <si>
    <t xml:space="preserve">कुल उधार</t>
  </si>
  <si>
    <t xml:space="preserve">कुल जमा</t>
  </si>
  <si>
    <t xml:space="preserve">बकाया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</si>
</sst>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\₹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7145"/>
      <name val="Noto Sans Devanagari"/>
      <family val="0"/>
      <charset val="1"/>
    </font>
    <font>
      <b val="true"/>
      <sz val="14"/>
      <color rgb="FF1E7145"/>
      <name val="Calibri"/>
      <family val="2"/>
      <charset val="1"/>
    </font>
    <font>
      <i val="true"/>
      <sz val="9"/>
      <color rgb="FF666666"/>
      <name val="Noto Sans Devanagari"/>
      <family val="0"/>
      <charset val="1"/>
    </font>
    <font>
      <b val="true"/>
      <sz val="11"/>
      <name val="Noto Sans Devanagari"/>
      <family val="0"/>
      <charset val="1"/>
    </font>
    <font>
      <sz val="11"/>
      <name val="Noto Sans Devanagari"/>
      <family val="0"/>
      <charset val="1"/>
    </font>
    <font>
      <b val="true"/>
      <sz val="11"/>
      <color rgb="FFFFFFFF"/>
      <name val="Noto Sans Devanagari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1E7145"/>
        <bgColor rgb="FF008080"/>
      </patternFill>
    </fill>
    <fill>
      <patternFill patternType="solid">
        <fgColor rgb="FFE8F5E9"/>
        <bgColor rgb="FFFFF8DC"/>
      </patternFill>
    </fill>
    <fill>
      <patternFill patternType="solid">
        <fgColor rgb="FFC8E6C9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BBBBB"/>
      <rgbColor rgb="FF808080"/>
      <rgbColor rgb="FF9999FF"/>
      <rgbColor rgb="FF993366"/>
      <rgbColor rgb="FFFFF8D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20"/>
  </cols>
  <sheetData>
    <row r="1" customFormat="false" ht="20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46315</v>
      </c>
    </row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customFormat="false" ht="15" hidden="false" customHeight="false" outlineLevel="0" collapsed="false">
      <c r="A7" s="6" t="s">
        <v>10</v>
      </c>
      <c r="B7" s="7" t="n">
        <v>46267</v>
      </c>
      <c r="C7" s="8" t="n">
        <v>1200</v>
      </c>
      <c r="D7" s="8" t="n">
        <v>0</v>
      </c>
      <c r="E7" s="9" t="n">
        <f aca="false">SUMIF($A$7:A7,A7,$C$7:C7)-SUMIF($A$7:A7,A7,$D$7:D7)</f>
        <v>1200</v>
      </c>
      <c r="F7" s="10" t="n">
        <f aca="false">$B$4-B7</f>
        <v>48</v>
      </c>
      <c r="G7" s="10" t="str">
        <f aca="false">IF(C7&gt;0,IF(F7&gt;30,"पुराना – याद दिलाएँ","ठीक"),"जमा")</f>
        <v>पुराना – याद दिलाएँ</v>
      </c>
    </row>
    <row r="8" customFormat="false" ht="15" hidden="false" customHeight="false" outlineLevel="0" collapsed="false">
      <c r="A8" s="6" t="s">
        <v>11</v>
      </c>
      <c r="B8" s="7" t="n">
        <v>46270</v>
      </c>
      <c r="C8" s="8" t="n">
        <v>850</v>
      </c>
      <c r="D8" s="8" t="n">
        <v>0</v>
      </c>
      <c r="E8" s="9" t="n">
        <f aca="false">SUMIF($A$7:A8,A8,$C$7:C8)-SUMIF($A$7:A8,A8,$D$7:D8)</f>
        <v>850</v>
      </c>
      <c r="F8" s="10" t="n">
        <f aca="false">$B$4-B8</f>
        <v>45</v>
      </c>
      <c r="G8" s="10" t="str">
        <f aca="false">IF(C8&gt;0,IF(F8&gt;30,"पुराना – याद दिलाएँ","ठीक"),"जमा")</f>
        <v>पुराना – याद दिलाएँ</v>
      </c>
    </row>
    <row r="9" customFormat="false" ht="15" hidden="false" customHeight="false" outlineLevel="0" collapsed="false">
      <c r="A9" s="6" t="s">
        <v>10</v>
      </c>
      <c r="B9" s="7" t="n">
        <v>46277</v>
      </c>
      <c r="C9" s="8" t="n">
        <v>0</v>
      </c>
      <c r="D9" s="8" t="n">
        <v>500</v>
      </c>
      <c r="E9" s="9" t="n">
        <f aca="false">SUMIF($A$7:A9,A9,$C$7:C9)-SUMIF($A$7:A9,A9,$D$7:D9)</f>
        <v>700</v>
      </c>
      <c r="F9" s="10" t="n">
        <f aca="false">$B$4-B9</f>
        <v>38</v>
      </c>
      <c r="G9" s="10" t="str">
        <f aca="false">IF(C9&gt;0,IF(F9&gt;30,"पुराना – याद दिलाएँ","ठीक"),"जमा")</f>
        <v>जमा</v>
      </c>
    </row>
    <row r="10" customFormat="false" ht="15" hidden="false" customHeight="false" outlineLevel="0" collapsed="false">
      <c r="A10" s="6" t="s">
        <v>12</v>
      </c>
      <c r="B10" s="7" t="n">
        <v>46280</v>
      </c>
      <c r="C10" s="8" t="n">
        <v>2300</v>
      </c>
      <c r="D10" s="8" t="n">
        <v>0</v>
      </c>
      <c r="E10" s="9" t="n">
        <f aca="false">SUMIF($A$7:A10,A10,$C$7:C10)-SUMIF($A$7:A10,A10,$D$7:D10)</f>
        <v>2300</v>
      </c>
      <c r="F10" s="10" t="n">
        <f aca="false">$B$4-B10</f>
        <v>35</v>
      </c>
      <c r="G10" s="10" t="str">
        <f aca="false">IF(C10&gt;0,IF(F10&gt;30,"पुराना – याद दिलाएँ","ठीक"),"जमा")</f>
        <v>पुराना – याद दिलाएँ</v>
      </c>
    </row>
    <row r="11" customFormat="false" ht="15" hidden="false" customHeight="false" outlineLevel="0" collapsed="false">
      <c r="A11" s="6" t="s">
        <v>11</v>
      </c>
      <c r="B11" s="7" t="n">
        <v>46285</v>
      </c>
      <c r="C11" s="8" t="n">
        <v>0</v>
      </c>
      <c r="D11" s="8" t="n">
        <v>850</v>
      </c>
      <c r="E11" s="9" t="n">
        <f aca="false">SUMIF($A$7:A11,A11,$C$7:C11)-SUMIF($A$7:A11,A11,$D$7:D11)</f>
        <v>0</v>
      </c>
      <c r="F11" s="10" t="n">
        <f aca="false">$B$4-B11</f>
        <v>30</v>
      </c>
      <c r="G11" s="10" t="str">
        <f aca="false">IF(C11&gt;0,IF(F11&gt;30,"पुराना – याद दिलाएँ","ठीक"),"जमा")</f>
        <v>जमा</v>
      </c>
    </row>
    <row r="12" customFormat="false" ht="15" hidden="false" customHeight="false" outlineLevel="0" collapsed="false">
      <c r="A12" s="6" t="s">
        <v>10</v>
      </c>
      <c r="B12" s="7" t="n">
        <v>46293</v>
      </c>
      <c r="C12" s="8" t="n">
        <v>640</v>
      </c>
      <c r="D12" s="8" t="n">
        <v>0</v>
      </c>
      <c r="E12" s="9" t="n">
        <f aca="false">SUMIF($A$7:A12,A12,$C$7:C12)-SUMIF($A$7:A12,A12,$D$7:D12)</f>
        <v>1340</v>
      </c>
      <c r="F12" s="10" t="n">
        <f aca="false">$B$4-B12</f>
        <v>22</v>
      </c>
      <c r="G12" s="10" t="str">
        <f aca="false">IF(C12&gt;0,IF(F12&gt;30,"पुराना – याद दिलाएँ","ठीक"),"जमा")</f>
        <v>ठीक</v>
      </c>
    </row>
    <row r="13" customFormat="false" ht="15" hidden="false" customHeight="false" outlineLevel="0" collapsed="false">
      <c r="A13" s="6" t="s">
        <v>12</v>
      </c>
      <c r="B13" s="7" t="n">
        <v>46298</v>
      </c>
      <c r="C13" s="8" t="n">
        <v>0</v>
      </c>
      <c r="D13" s="8" t="n">
        <v>1000</v>
      </c>
      <c r="E13" s="9" t="n">
        <f aca="false">SUMIF($A$7:A13,A13,$C$7:C13)-SUMIF($A$7:A13,A13,$D$7:D13)</f>
        <v>1300</v>
      </c>
      <c r="F13" s="10" t="n">
        <f aca="false">$B$4-B13</f>
        <v>17</v>
      </c>
      <c r="G13" s="10" t="str">
        <f aca="false">IF(C13&gt;0,IF(F13&gt;30,"पुराना – याद दिलाएँ","ठीक"),"जमा")</f>
        <v>जमा</v>
      </c>
    </row>
    <row r="14" customFormat="false" ht="15" hidden="false" customHeight="false" outlineLevel="0" collapsed="false">
      <c r="A14" s="6" t="s">
        <v>13</v>
      </c>
      <c r="B14" s="7" t="n">
        <v>46301</v>
      </c>
      <c r="C14" s="8" t="n">
        <v>450</v>
      </c>
      <c r="D14" s="8" t="n">
        <v>0</v>
      </c>
      <c r="E14" s="9" t="n">
        <f aca="false">SUMIF($A$7:A14,A14,$C$7:C14)-SUMIF($A$7:A14,A14,$D$7:D14)</f>
        <v>450</v>
      </c>
      <c r="F14" s="10" t="n">
        <f aca="false">$B$4-B14</f>
        <v>14</v>
      </c>
      <c r="G14" s="10" t="str">
        <f aca="false">IF(C14&gt;0,IF(F14&gt;30,"पुराना – याद दिलाएँ","ठीक"),"जमा")</f>
        <v>ठीक</v>
      </c>
    </row>
    <row r="15" customFormat="false" ht="15" hidden="false" customHeight="false" outlineLevel="0" collapsed="false">
      <c r="A15" s="6" t="s">
        <v>12</v>
      </c>
      <c r="B15" s="7" t="n">
        <v>46305</v>
      </c>
      <c r="C15" s="8" t="n">
        <v>300</v>
      </c>
      <c r="D15" s="8" t="n">
        <v>0</v>
      </c>
      <c r="E15" s="9" t="n">
        <f aca="false">SUMIF($A$7:A15,A15,$C$7:C15)-SUMIF($A$7:A15,A15,$D$7:D15)</f>
        <v>1600</v>
      </c>
      <c r="F15" s="10" t="n">
        <f aca="false">$B$4-B15</f>
        <v>10</v>
      </c>
      <c r="G15" s="10" t="str">
        <f aca="false">IF(C15&gt;0,IF(F15&gt;30,"पुराना – याद दिलाएँ","ठीक"),"जमा")</f>
        <v>ठीक</v>
      </c>
    </row>
    <row r="16" customFormat="false" ht="15" hidden="false" customHeight="false" outlineLevel="0" collapsed="false">
      <c r="A16" s="6" t="s">
        <v>13</v>
      </c>
      <c r="B16" s="7" t="n">
        <v>46309</v>
      </c>
      <c r="C16" s="8" t="n">
        <v>0</v>
      </c>
      <c r="D16" s="8" t="n">
        <v>200</v>
      </c>
      <c r="E16" s="9" t="n">
        <f aca="false">SUMIF($A$7:A16,A16,$C$7:C16)-SUMIF($A$7:A16,A16,$D$7:D16)</f>
        <v>250</v>
      </c>
      <c r="F16" s="10" t="n">
        <f aca="false">$B$4-B16</f>
        <v>6</v>
      </c>
      <c r="G16" s="10" t="str">
        <f aca="false">IF(C16&gt;0,IF(F16&gt;30,"पुराना – याद दिलाएँ","ठीक"),"जमा")</f>
        <v>जमा</v>
      </c>
    </row>
    <row r="17" customFormat="false" ht="15" hidden="false" customHeight="false" outlineLevel="0" collapsed="false">
      <c r="A17" s="11" t="s">
        <v>14</v>
      </c>
      <c r="C17" s="12" t="n">
        <f aca="false">SUM(C7:C16)</f>
        <v>5740</v>
      </c>
      <c r="D17" s="12" t="n">
        <f aca="false">SUM(D7:D16)</f>
        <v>2550</v>
      </c>
      <c r="E17" s="12" t="n">
        <f aca="false">C17-D17</f>
        <v>3190</v>
      </c>
    </row>
  </sheetData>
  <mergeCells count="2">
    <mergeCell ref="A1:G1"/>
    <mergeCell ref="A2:G2"/>
  </mergeCells>
  <conditionalFormatting sqref="G7:G16">
    <cfRule type="expression" priority="2" aboveAverage="0" equalAverage="0" bottom="0" percent="0" rank="0" text="" dxfId="0">
      <formula>LEFT(G7,6)="पुराना"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4"/>
  </cols>
  <sheetData>
    <row r="1" customFormat="false" ht="17.35" hidden="false" customHeight="false" outlineLevel="0" collapsed="false">
      <c r="A1" s="1" t="s">
        <v>15</v>
      </c>
      <c r="B1" s="1"/>
      <c r="C1" s="1"/>
      <c r="D1" s="1"/>
    </row>
    <row r="2" customFormat="false" ht="13.4" hidden="false" customHeight="false" outlineLevel="0" collapsed="false">
      <c r="A2" s="2" t="s">
        <v>16</v>
      </c>
      <c r="B2" s="2"/>
      <c r="C2" s="2"/>
      <c r="D2" s="2"/>
    </row>
    <row r="4" customFormat="false" ht="31.5" hidden="false" customHeight="true" outlineLevel="0" collapsed="false">
      <c r="A4" s="5" t="s">
        <v>3</v>
      </c>
      <c r="B4" s="5" t="s">
        <v>17</v>
      </c>
      <c r="C4" s="5" t="s">
        <v>18</v>
      </c>
      <c r="D4" s="5" t="s">
        <v>19</v>
      </c>
    </row>
    <row r="5" customFormat="false" ht="15" hidden="false" customHeight="false" outlineLevel="0" collapsed="false">
      <c r="A5" s="6" t="s">
        <v>10</v>
      </c>
      <c r="B5" s="9" t="n">
        <f aca="false">SUMIF(उधार_खाता!$A$7:$A$16,A5,उधार_खाता!$C$7:$C$16)</f>
        <v>1840</v>
      </c>
      <c r="C5" s="9" t="n">
        <f aca="false">SUMIF(उधार_खाता!$A$7:$A$16,A5,उधार_खाता!$D$7:$D$16)</f>
        <v>500</v>
      </c>
      <c r="D5" s="9" t="n">
        <f aca="false">B5-C5</f>
        <v>1340</v>
      </c>
    </row>
    <row r="6" customFormat="false" ht="15" hidden="false" customHeight="false" outlineLevel="0" collapsed="false">
      <c r="A6" s="6" t="s">
        <v>11</v>
      </c>
      <c r="B6" s="9" t="n">
        <f aca="false">SUMIF(उधार_खाता!$A$7:$A$16,A6,उधार_खाता!$C$7:$C$16)</f>
        <v>850</v>
      </c>
      <c r="C6" s="9" t="n">
        <f aca="false">SUMIF(उधार_खाता!$A$7:$A$16,A6,उधार_खाता!$D$7:$D$16)</f>
        <v>850</v>
      </c>
      <c r="D6" s="9" t="n">
        <f aca="false">B6-C6</f>
        <v>0</v>
      </c>
    </row>
    <row r="7" customFormat="false" ht="15" hidden="false" customHeight="false" outlineLevel="0" collapsed="false">
      <c r="A7" s="6" t="s">
        <v>12</v>
      </c>
      <c r="B7" s="9" t="n">
        <f aca="false">SUMIF(उधार_खाता!$A$7:$A$16,A7,उधार_खाता!$C$7:$C$16)</f>
        <v>2600</v>
      </c>
      <c r="C7" s="9" t="n">
        <f aca="false">SUMIF(उधार_खाता!$A$7:$A$16,A7,उधार_खाता!$D$7:$D$16)</f>
        <v>1000</v>
      </c>
      <c r="D7" s="9" t="n">
        <f aca="false">B7-C7</f>
        <v>1600</v>
      </c>
    </row>
    <row r="8" customFormat="false" ht="15" hidden="false" customHeight="false" outlineLevel="0" collapsed="false">
      <c r="A8" s="6" t="s">
        <v>13</v>
      </c>
      <c r="B8" s="9" t="n">
        <f aca="false">SUMIF(उधार_खाता!$A$7:$A$16,A8,उधार_खाता!$C$7:$C$16)</f>
        <v>450</v>
      </c>
      <c r="C8" s="9" t="n">
        <f aca="false">SUMIF(उधार_खाता!$A$7:$A$16,A8,उधार_खाता!$D$7:$D$16)</f>
        <v>200</v>
      </c>
      <c r="D8" s="9" t="n">
        <f aca="false">B8-C8</f>
        <v>250</v>
      </c>
    </row>
    <row r="9" customFormat="false" ht="15" hidden="false" customHeight="false" outlineLevel="0" collapsed="false">
      <c r="A9" s="11" t="s">
        <v>14</v>
      </c>
      <c r="B9" s="12" t="n">
        <f aca="false">SUM(B5:B8)</f>
        <v>5740</v>
      </c>
      <c r="C9" s="12" t="n">
        <f aca="false">SUM(C5:C8)</f>
        <v>2550</v>
      </c>
      <c r="D9" s="12" t="n">
        <f aca="false">SUM(D5:D8)</f>
        <v>3190</v>
      </c>
    </row>
  </sheetData>
  <mergeCells count="2">
    <mergeCell ref="A1:D1"/>
    <mergeCell ref="A2:D2"/>
  </mergeCells>
  <conditionalFormatting sqref="D5:D8">
    <cfRule type="cellIs" priority="2" operator="greaterThan" aboveAverage="0" equalAverage="0" bottom="0" percent="0" rank="0" text="" dxfId="0">
      <formula>1000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2026-10-16T10:04:49Z</dcterms:created>
  <dc:creator>openpyxl</dc:creator>
  <dc:description/>
  <dc:language>en-US</dc:language>
  <cp:lastModifiedBy/>
  <dcterms:modified xsi:type="dcterms:W3CDTF">2026-10-16T10:04:49Z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