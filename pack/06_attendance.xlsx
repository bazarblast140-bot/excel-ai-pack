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हाज़िर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<sst xmlns="http://schemas.openxmlformats.org/spreadsheetml/2006/main" count="153" uniqueCount="36">
  <si>
    <r>
      <rPr>
        <b val="true"/>
        <sz val="14"/>
        <color rgb="FF1E7145"/>
        <rFont val="Noto Sans Devanagari"/>
        <family val="0"/>
        <charset val="1"/>
      </rPr>
      <t xml:space="preserve">क्लास हाज़िरी रजिस्टर – </t>
    </r>
    <r>
      <rPr>
        <b val="true"/>
        <sz val="14"/>
        <color rgb="FF1E7145"/>
        <rFont val="Calibri"/>
        <family val="2"/>
        <charset val="1"/>
      </rPr>
      <t xml:space="preserve">12 </t>
    </r>
    <r>
      <rPr>
        <b val="true"/>
        <sz val="14"/>
        <color rgb="FF1E7145"/>
        <rFont val="Noto Sans Devanagari"/>
        <family val="0"/>
        <charset val="1"/>
      </rPr>
      <t xml:space="preserve">दिन</t>
    </r>
  </si>
  <si>
    <t xml:space="preserve">P = Present, A = Absent, L = Leave। 75% से कम = लाल</t>
  </si>
  <si>
    <t xml:space="preserve">रोल</t>
  </si>
  <si>
    <t xml:space="preserve">नाम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</si>
  <si>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</si>
  <si>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</si>
  <si>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</si>
  <si>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</si>
  <si>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</si>
  <si>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</si>
  <si>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</si>
  <si>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</si>
  <si>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</si>
  <si>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</si>
  <si>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</si>
  <si>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</si>
  <si>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Present</t>
  </si>
  <si>
    <t xml:space="preserve">कुल दिन</t>
  </si>
  <si>
    <r>
      <rPr>
        <b val="true"/>
        <sz val="11"/>
        <color rgb="FFFFFFFF"/>
        <rFont val="Noto Sans Devanagari"/>
        <family val="0"/>
        <charset val="1"/>
      </rPr>
      <t xml:space="preserve">हाज़िरी </t>
    </r>
    <r>
      <rPr>
        <b val="true"/>
        <sz val="11"/>
        <color rgb="FFFFFFFF"/>
        <rFont val="Calibri"/>
        <family val="2"/>
        <charset val="1"/>
      </rPr>
      <t xml:space="preserve">%</t>
    </r>
  </si>
  <si>
    <t xml:space="preserve">परिणाम</t>
  </si>
  <si>
    <t xml:space="preserve">आरव</t>
  </si>
  <si>
    <t xml:space="preserve">P</t>
  </si>
  <si>
    <t xml:space="preserve">A</t>
  </si>
  <si>
    <t xml:space="preserve">प्रिया</t>
  </si>
  <si>
    <t xml:space="preserve">L</t>
  </si>
  <si>
    <t xml:space="preserve">कबीर</t>
  </si>
  <si>
    <t xml:space="preserve">अनन्या</t>
  </si>
  <si>
    <t xml:space="preserve">रोहित</t>
  </si>
  <si>
    <t xml:space="preserve">सना</t>
  </si>
  <si>
    <t xml:space="preserve">विक्रम</t>
  </si>
  <si>
    <t xml:space="preserve">नेहा</t>
  </si>
  <si>
    <t xml:space="preserve">अर्जुन</t>
  </si>
  <si>
    <t xml:space="preserve">पूजा</t>
  </si>
  <si>
    <t xml:space="preserve">कुल छात्र</t>
  </si>
  <si>
    <t xml:space="preserve">योग्य छात्र</t>
  </si>
  <si>
    <t xml:space="preserve">औसत हाज़िरी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</si>
</sst>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7145"/>
      <name val="Noto Sans Devanagari"/>
      <family val="0"/>
      <charset val="1"/>
    </font>
    <font>
      <b val="true"/>
      <sz val="14"/>
      <color rgb="FF1E7145"/>
      <name val="Calibri"/>
      <family val="2"/>
      <charset val="1"/>
    </font>
    <font>
      <i val="true"/>
      <sz val="9"/>
      <color rgb="FF666666"/>
      <name val="Noto Sans Devanagari"/>
      <family val="0"/>
      <charset val="1"/>
    </font>
    <font>
      <b val="true"/>
      <sz val="11"/>
      <color rgb="FFFFFFFF"/>
      <name val="Noto Sans Devanagari"/>
      <family val="0"/>
      <charset val="1"/>
    </font>
    <font>
      <b val="true"/>
      <sz val="11"/>
      <color rgb="FFFFFFFF"/>
      <name val="Calibri"/>
      <family val="2"/>
      <charset val="1"/>
    </font>
    <font>
      <sz val="11"/>
      <name val="Noto Sans Devanagari"/>
      <family val="0"/>
      <charset val="1"/>
    </font>
    <font>
      <b val="true"/>
      <sz val="11"/>
      <name val="Noto Sans Devanaga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DD2"/>
        </patternFill>
      </fill>
    </dxf>
    <dxf>
      <font>
        <b val="1"/>
        <color rgb="FFC628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BBBBB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4" min="3" style="0" width="5"/>
    <col collapsed="false" customWidth="true" hidden="false" outlineLevel="0" max="16" min="15" style="0" width="9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20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1.5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5" t="n">
        <v>1</v>
      </c>
      <c r="B5" s="5" t="s">
        <v>20</v>
      </c>
      <c r="C5" s="5" t="s">
        <v>21</v>
      </c>
      <c r="D5" s="5" t="s">
        <v>21</v>
      </c>
      <c r="E5" s="5" t="s">
        <v>21</v>
      </c>
      <c r="F5" s="5" t="s">
        <v>21</v>
      </c>
      <c r="G5" s="5" t="s">
        <v>22</v>
      </c>
      <c r="H5" s="5" t="s">
        <v>21</v>
      </c>
      <c r="I5" s="5" t="s">
        <v>21</v>
      </c>
      <c r="J5" s="5" t="s">
        <v>21</v>
      </c>
      <c r="K5" s="5" t="s">
        <v>21</v>
      </c>
      <c r="L5" s="5" t="s">
        <v>21</v>
      </c>
      <c r="M5" s="5" t="s">
        <v>22</v>
      </c>
      <c r="N5" s="5" t="s">
        <v>21</v>
      </c>
      <c r="O5" s="6" t="n">
        <f aca="false">COUNTIF(C5:N5,"P")</f>
        <v>10</v>
      </c>
      <c r="P5" s="6" t="n">
        <f aca="false">COUNTA(C5:N5)</f>
        <v>12</v>
      </c>
      <c r="Q5" s="7" t="n">
        <f aca="false">O5/P5</f>
        <v>0.833333333333333</v>
      </c>
      <c r="R5" s="6" t="str">
        <f aca="false">IF(Q5&gt;=75%,"योग्य","कम हाज़िरी")</f>
        <v>योग्य</v>
      </c>
    </row>
    <row r="6" customFormat="false" ht="15" hidden="false" customHeight="false" outlineLevel="0" collapsed="false">
      <c r="A6" s="5" t="n">
        <v>2</v>
      </c>
      <c r="B6" s="5" t="s">
        <v>23</v>
      </c>
      <c r="C6" s="5" t="s">
        <v>21</v>
      </c>
      <c r="D6" s="5" t="s">
        <v>21</v>
      </c>
      <c r="E6" s="5" t="s">
        <v>21</v>
      </c>
      <c r="F6" s="5" t="s">
        <v>21</v>
      </c>
      <c r="G6" s="5" t="s">
        <v>21</v>
      </c>
      <c r="H6" s="5" t="s">
        <v>21</v>
      </c>
      <c r="I6" s="5" t="s">
        <v>21</v>
      </c>
      <c r="J6" s="5" t="s">
        <v>21</v>
      </c>
      <c r="K6" s="5" t="s">
        <v>24</v>
      </c>
      <c r="L6" s="5" t="s">
        <v>21</v>
      </c>
      <c r="M6" s="5" t="s">
        <v>21</v>
      </c>
      <c r="N6" s="5" t="s">
        <v>21</v>
      </c>
      <c r="O6" s="6" t="n">
        <f aca="false">COUNTIF(C6:N6,"P")</f>
        <v>11</v>
      </c>
      <c r="P6" s="6" t="n">
        <f aca="false">COUNTA(C6:N6)</f>
        <v>12</v>
      </c>
      <c r="Q6" s="7" t="n">
        <f aca="false">O6/P6</f>
        <v>0.916666666666667</v>
      </c>
      <c r="R6" s="6" t="str">
        <f aca="false">IF(Q6&gt;=75%,"योग्य","कम हाज़िरी")</f>
        <v>योग्य</v>
      </c>
    </row>
    <row r="7" customFormat="false" ht="15" hidden="false" customHeight="false" outlineLevel="0" collapsed="false">
      <c r="A7" s="5" t="n">
        <v>3</v>
      </c>
      <c r="B7" s="5" t="s">
        <v>25</v>
      </c>
      <c r="C7" s="5" t="s">
        <v>21</v>
      </c>
      <c r="D7" s="5" t="s">
        <v>21</v>
      </c>
      <c r="E7" s="5" t="s">
        <v>24</v>
      </c>
      <c r="F7" s="5" t="s">
        <v>21</v>
      </c>
      <c r="G7" s="5" t="s">
        <v>21</v>
      </c>
      <c r="H7" s="5" t="s">
        <v>22</v>
      </c>
      <c r="I7" s="5" t="s">
        <v>24</v>
      </c>
      <c r="J7" s="5" t="s">
        <v>21</v>
      </c>
      <c r="K7" s="5" t="s">
        <v>21</v>
      </c>
      <c r="L7" s="5" t="s">
        <v>21</v>
      </c>
      <c r="M7" s="5" t="s">
        <v>22</v>
      </c>
      <c r="N7" s="5" t="s">
        <v>24</v>
      </c>
      <c r="O7" s="6" t="n">
        <f aca="false">COUNTIF(C7:N7,"P")</f>
        <v>7</v>
      </c>
      <c r="P7" s="6" t="n">
        <f aca="false">COUNTA(C7:N7)</f>
        <v>12</v>
      </c>
      <c r="Q7" s="7" t="n">
        <f aca="false">O7/P7</f>
        <v>0.583333333333333</v>
      </c>
      <c r="R7" s="6" t="str">
        <f aca="false">IF(Q7&gt;=75%,"योग्य","कम हाज़िरी")</f>
        <v>कम हाज़िरी</v>
      </c>
    </row>
    <row r="8" customFormat="false" ht="15" hidden="false" customHeight="false" outlineLevel="0" collapsed="false">
      <c r="A8" s="5" t="n">
        <v>4</v>
      </c>
      <c r="B8" s="5" t="s">
        <v>26</v>
      </c>
      <c r="C8" s="5" t="s">
        <v>21</v>
      </c>
      <c r="D8" s="5" t="s">
        <v>22</v>
      </c>
      <c r="E8" s="5" t="s">
        <v>21</v>
      </c>
      <c r="F8" s="5" t="s">
        <v>21</v>
      </c>
      <c r="G8" s="5" t="s">
        <v>21</v>
      </c>
      <c r="H8" s="5" t="s">
        <v>21</v>
      </c>
      <c r="I8" s="5" t="s">
        <v>21</v>
      </c>
      <c r="J8" s="5" t="s">
        <v>21</v>
      </c>
      <c r="K8" s="5" t="s">
        <v>21</v>
      </c>
      <c r="L8" s="5" t="s">
        <v>24</v>
      </c>
      <c r="M8" s="5" t="s">
        <v>22</v>
      </c>
      <c r="N8" s="5" t="s">
        <v>21</v>
      </c>
      <c r="O8" s="6" t="n">
        <f aca="false">COUNTIF(C8:N8,"P")</f>
        <v>9</v>
      </c>
      <c r="P8" s="6" t="n">
        <f aca="false">COUNTA(C8:N8)</f>
        <v>12</v>
      </c>
      <c r="Q8" s="7" t="n">
        <f aca="false">O8/P8</f>
        <v>0.75</v>
      </c>
      <c r="R8" s="6" t="str">
        <f aca="false">IF(Q8&gt;=75%,"योग्य","कम हाज़िरी")</f>
        <v>योग्य</v>
      </c>
    </row>
    <row r="9" customFormat="false" ht="15" hidden="false" customHeight="false" outlineLevel="0" collapsed="false">
      <c r="A9" s="5" t="n">
        <v>5</v>
      </c>
      <c r="B9" s="5" t="s">
        <v>27</v>
      </c>
      <c r="C9" s="5" t="s">
        <v>21</v>
      </c>
      <c r="D9" s="5" t="s">
        <v>21</v>
      </c>
      <c r="E9" s="5" t="s">
        <v>21</v>
      </c>
      <c r="F9" s="5" t="s">
        <v>22</v>
      </c>
      <c r="G9" s="5" t="s">
        <v>21</v>
      </c>
      <c r="H9" s="5" t="s">
        <v>21</v>
      </c>
      <c r="I9" s="5" t="s">
        <v>21</v>
      </c>
      <c r="J9" s="5" t="s">
        <v>21</v>
      </c>
      <c r="K9" s="5" t="s">
        <v>21</v>
      </c>
      <c r="L9" s="5" t="s">
        <v>22</v>
      </c>
      <c r="M9" s="5" t="s">
        <v>21</v>
      </c>
      <c r="N9" s="5" t="s">
        <v>24</v>
      </c>
      <c r="O9" s="6" t="n">
        <f aca="false">COUNTIF(C9:N9,"P")</f>
        <v>9</v>
      </c>
      <c r="P9" s="6" t="n">
        <f aca="false">COUNTA(C9:N9)</f>
        <v>12</v>
      </c>
      <c r="Q9" s="7" t="n">
        <f aca="false">O9/P9</f>
        <v>0.75</v>
      </c>
      <c r="R9" s="6" t="str">
        <f aca="false">IF(Q9&gt;=75%,"योग्य","कम हाज़िरी")</f>
        <v>योग्य</v>
      </c>
    </row>
    <row r="10" customFormat="false" ht="15" hidden="false" customHeight="false" outlineLevel="0" collapsed="false">
      <c r="A10" s="5" t="n">
        <v>6</v>
      </c>
      <c r="B10" s="5" t="s">
        <v>28</v>
      </c>
      <c r="C10" s="5" t="s">
        <v>21</v>
      </c>
      <c r="D10" s="5" t="s">
        <v>21</v>
      </c>
      <c r="E10" s="5" t="s">
        <v>21</v>
      </c>
      <c r="F10" s="5" t="s">
        <v>21</v>
      </c>
      <c r="G10" s="5" t="s">
        <v>21</v>
      </c>
      <c r="H10" s="5" t="s">
        <v>24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21</v>
      </c>
      <c r="N10" s="5" t="s">
        <v>21</v>
      </c>
      <c r="O10" s="6" t="n">
        <f aca="false">COUNTIF(C10:N10,"P")</f>
        <v>11</v>
      </c>
      <c r="P10" s="6" t="n">
        <f aca="false">COUNTA(C10:N10)</f>
        <v>12</v>
      </c>
      <c r="Q10" s="7" t="n">
        <f aca="false">O10/P10</f>
        <v>0.916666666666667</v>
      </c>
      <c r="R10" s="6" t="str">
        <f aca="false">IF(Q10&gt;=75%,"योग्य","कम हाज़िरी")</f>
        <v>योग्य</v>
      </c>
    </row>
    <row r="11" customFormat="false" ht="15" hidden="false" customHeight="false" outlineLevel="0" collapsed="false">
      <c r="A11" s="5" t="n">
        <v>7</v>
      </c>
      <c r="B11" s="5" t="s">
        <v>29</v>
      </c>
      <c r="C11" s="5" t="s">
        <v>21</v>
      </c>
      <c r="D11" s="5" t="s">
        <v>21</v>
      </c>
      <c r="E11" s="5" t="s">
        <v>24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24</v>
      </c>
      <c r="L11" s="5" t="s">
        <v>21</v>
      </c>
      <c r="M11" s="5" t="s">
        <v>21</v>
      </c>
      <c r="N11" s="5" t="s">
        <v>21</v>
      </c>
      <c r="O11" s="6" t="n">
        <f aca="false">COUNTIF(C11:N11,"P")</f>
        <v>10</v>
      </c>
      <c r="P11" s="6" t="n">
        <f aca="false">COUNTA(C11:N11)</f>
        <v>12</v>
      </c>
      <c r="Q11" s="7" t="n">
        <f aca="false">O11/P11</f>
        <v>0.833333333333333</v>
      </c>
      <c r="R11" s="6" t="str">
        <f aca="false">IF(Q11&gt;=75%,"योग्य","कम हाज़िरी")</f>
        <v>योग्य</v>
      </c>
    </row>
    <row r="12" customFormat="false" ht="15" hidden="false" customHeight="false" outlineLevel="0" collapsed="false">
      <c r="A12" s="5" t="n">
        <v>8</v>
      </c>
      <c r="B12" s="5" t="s">
        <v>30</v>
      </c>
      <c r="C12" s="5" t="s">
        <v>24</v>
      </c>
      <c r="D12" s="5" t="s">
        <v>21</v>
      </c>
      <c r="E12" s="5" t="s">
        <v>22</v>
      </c>
      <c r="F12" s="5" t="s">
        <v>21</v>
      </c>
      <c r="G12" s="5" t="s">
        <v>24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22</v>
      </c>
      <c r="M12" s="5" t="s">
        <v>24</v>
      </c>
      <c r="N12" s="5" t="s">
        <v>21</v>
      </c>
      <c r="O12" s="6" t="n">
        <f aca="false">COUNTIF(C12:N12,"P")</f>
        <v>7</v>
      </c>
      <c r="P12" s="6" t="n">
        <f aca="false">COUNTA(C12:N12)</f>
        <v>12</v>
      </c>
      <c r="Q12" s="7" t="n">
        <f aca="false">O12/P12</f>
        <v>0.583333333333333</v>
      </c>
      <c r="R12" s="6" t="str">
        <f aca="false">IF(Q12&gt;=75%,"योग्य","कम हाज़िरी")</f>
        <v>कम हाज़िरी</v>
      </c>
    </row>
    <row r="13" customFormat="false" ht="15" hidden="false" customHeight="false" outlineLevel="0" collapsed="false">
      <c r="A13" s="5" t="n">
        <v>9</v>
      </c>
      <c r="B13" s="5" t="s">
        <v>31</v>
      </c>
      <c r="C13" s="5" t="s">
        <v>24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22</v>
      </c>
      <c r="K13" s="5" t="s">
        <v>21</v>
      </c>
      <c r="L13" s="5" t="s">
        <v>21</v>
      </c>
      <c r="M13" s="5" t="s">
        <v>21</v>
      </c>
      <c r="N13" s="5" t="s">
        <v>21</v>
      </c>
      <c r="O13" s="6" t="n">
        <f aca="false">COUNTIF(C13:N13,"P")</f>
        <v>10</v>
      </c>
      <c r="P13" s="6" t="n">
        <f aca="false">COUNTA(C13:N13)</f>
        <v>12</v>
      </c>
      <c r="Q13" s="7" t="n">
        <f aca="false">O13/P13</f>
        <v>0.833333333333333</v>
      </c>
      <c r="R13" s="6" t="str">
        <f aca="false">IF(Q13&gt;=75%,"योग्य","कम हाज़िरी")</f>
        <v>योग्य</v>
      </c>
    </row>
    <row r="14" customFormat="false" ht="15" hidden="false" customHeight="false" outlineLevel="0" collapsed="false">
      <c r="A14" s="5" t="n">
        <v>10</v>
      </c>
      <c r="B14" s="5" t="s">
        <v>32</v>
      </c>
      <c r="C14" s="5" t="s">
        <v>21</v>
      </c>
      <c r="D14" s="5" t="s">
        <v>21</v>
      </c>
      <c r="E14" s="5" t="s">
        <v>21</v>
      </c>
      <c r="F14" s="5" t="s">
        <v>21</v>
      </c>
      <c r="G14" s="5" t="s">
        <v>21</v>
      </c>
      <c r="H14" s="5" t="s">
        <v>21</v>
      </c>
      <c r="I14" s="5" t="s">
        <v>21</v>
      </c>
      <c r="J14" s="5" t="s">
        <v>24</v>
      </c>
      <c r="K14" s="5" t="s">
        <v>24</v>
      </c>
      <c r="L14" s="5" t="s">
        <v>24</v>
      </c>
      <c r="M14" s="5" t="s">
        <v>21</v>
      </c>
      <c r="N14" s="5" t="s">
        <v>21</v>
      </c>
      <c r="O14" s="6" t="n">
        <f aca="false">COUNTIF(C14:N14,"P")</f>
        <v>9</v>
      </c>
      <c r="P14" s="6" t="n">
        <f aca="false">COUNTA(C14:N14)</f>
        <v>12</v>
      </c>
      <c r="Q14" s="7" t="n">
        <f aca="false">O14/P14</f>
        <v>0.75</v>
      </c>
      <c r="R14" s="6" t="str">
        <f aca="false">IF(Q14&gt;=75%,"योग्य","कम हाज़िरी")</f>
        <v>योग्य</v>
      </c>
    </row>
    <row r="17" customFormat="false" ht="15" hidden="false" customHeight="false" outlineLevel="0" collapsed="false">
      <c r="A17" s="8" t="s">
        <v>33</v>
      </c>
      <c r="B17" s="6" t="n">
        <f aca="false">COUNTA(B5:B14)</f>
        <v>10</v>
      </c>
    </row>
    <row r="18" customFormat="false" ht="15" hidden="false" customHeight="false" outlineLevel="0" collapsed="false">
      <c r="A18" s="8" t="s">
        <v>34</v>
      </c>
      <c r="B18" s="6" t="n">
        <f aca="false">COUNTIF(R5:R14,"योग्य")</f>
        <v>8</v>
      </c>
    </row>
    <row r="19" customFormat="false" ht="15" hidden="false" customHeight="false" outlineLevel="0" collapsed="false">
      <c r="A19" s="8" t="s">
        <v>35</v>
      </c>
      <c r="B19" s="9" t="n">
        <f aca="false">AVERAGE(Q5:Q14)</f>
        <v>0.775</v>
      </c>
    </row>
  </sheetData>
  <mergeCells count="2">
    <mergeCell ref="A1:Q1"/>
    <mergeCell ref="A2:Q2"/>
  </mergeCells>
  <conditionalFormatting sqref="Q5:Q14">
    <cfRule type="cellIs" priority="2" operator="lessThan" aboveAverage="0" equalAverage="0" bottom="0" percent="0" rank="0" text="" dxfId="0">
      <formula>0.75</formula>
    </cfRule>
  </conditionalFormatting>
  <conditionalFormatting sqref="C5:N14">
    <cfRule type="cellIs" priority="3" operator="equal" aboveAverage="0" equalAverage="0" bottom="0" percent="0" rank="0" text="" dxfId="1">
      <formula>"A"</formula>
    </cfRule>
  </conditionalFormatting>
  <dataValidations count="1">
    <dataValidation allowBlank="false" errorStyle="stop" operator="between" showDropDown="false" showErrorMessage="false" showInputMessage="false" sqref="C5:N14" type="list">
      <formula1>"P,A,L"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2026-10-16T10:04:49Z</dcterms:created>
  <dc:creator>openpyxl</dc:creator>
  <dc:description/>
  <dc:language>en-US</dc:language>
  <cp:lastModifiedBy/>
  <dcterms:modified xsi:type="dcterms:W3CDTF">2026-10-16T10:04:49Z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