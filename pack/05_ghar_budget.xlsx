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बजट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<sst xmlns="http://schemas.openxmlformats.org/spreadsheetml/2006/main" count="22" uniqueCount="22">
  <si>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घर का मासिक बजट</t>
  </si>
  <si>
    <t xml:space="preserve">बजट बनाम असली खर्च – लाल = बजट से ज़्यादा</t>
  </si>
  <si>
    <t xml:space="preserve">कुल आमदनी</t>
  </si>
  <si>
    <t xml:space="preserve">कुल खर्च</t>
  </si>
  <si>
    <t xml:space="preserve">बचत</t>
  </si>
  <si>
    <r>
      <rPr>
        <b val="true"/>
        <sz val="11"/>
        <rFont val="Noto Sans Devanagari"/>
        <family val="0"/>
        <charset val="1"/>
      </rPr>
      <t xml:space="preserve">बचत </t>
    </r>
    <r>
      <rPr>
        <b val="true"/>
        <sz val="11"/>
        <rFont val="Calibri"/>
        <family val="2"/>
        <charset val="1"/>
      </rPr>
      <t xml:space="preserve">%</t>
    </r>
  </si>
  <si>
    <t xml:space="preserve">खर्च का मद</t>
  </si>
  <si>
    <r>
      <rPr>
        <b val="true"/>
        <sz val="11"/>
        <color rgb="FFFFFFFF"/>
        <rFont val="Noto Sans Devanagari"/>
        <family val="0"/>
        <charset val="1"/>
      </rPr>
      <t xml:space="preserve">बजट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</si>
  <si>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r>
      <rPr>
        <b val="true"/>
        <sz val="11"/>
        <color rgb="FFFFFFFF"/>
        <rFont val="Noto Sans Devanagari"/>
        <family val="0"/>
        <charset val="1"/>
      </rPr>
      <t xml:space="preserve">असली खर्च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</si>
  <si>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r>
      <rPr>
        <b val="true"/>
        <sz val="11"/>
        <color rgb="FFFFFFFF"/>
        <rFont val="Noto Sans Devanagari"/>
        <family val="0"/>
        <charset val="1"/>
      </rPr>
      <t xml:space="preserve">अंतर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</si>
  <si>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t xml:space="preserve">स्थिति</t>
  </si>
  <si>
    <t xml:space="preserve">किराया</t>
  </si>
  <si>
    <t xml:space="preserve">राशन</t>
  </si>
  <si>
    <t xml:space="preserve">बिजली/पानी</t>
  </si>
  <si>
    <t xml:space="preserve">मोबाइल/इंटरनेट</t>
  </si>
  <si>
    <t xml:space="preserve">बच्चों की पढ़ाई</t>
  </si>
  <si>
    <t xml:space="preserve">दवाई</t>
  </si>
  <si>
    <t xml:space="preserve">पेट्रोल</t>
  </si>
  <si>
    <t xml:space="preserve">बाहर खाना</t>
  </si>
  <si>
    <t xml:space="preserve">कपड़े</t>
  </si>
  <si>
    <t xml:space="preserve">EMI</t>
  </si>
  <si>
    <t xml:space="preserve">कुल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</si>
</sst>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145"/>
      <name val="Noto Sans Devanagari"/>
      <family val="0"/>
      <charset val="1"/>
    </font>
    <font>
      <i val="true"/>
      <sz val="9"/>
      <color rgb="FF666666"/>
      <name val="Noto Sans Devanagari"/>
      <family val="0"/>
      <charset val="1"/>
    </font>
    <font>
      <b val="true"/>
      <sz val="11"/>
      <name val="Noto Sans Devanagari"/>
      <family val="0"/>
      <charset val="1"/>
    </font>
    <font>
      <sz val="11"/>
      <name val="Noto Sans Devanagari"/>
      <family val="0"/>
      <charset val="1"/>
    </font>
    <font>
      <b val="true"/>
      <sz val="11"/>
      <name val="Calibri"/>
      <family val="2"/>
      <charset val="1"/>
    </font>
    <font>
      <b val="true"/>
      <sz val="11"/>
      <color rgb="FFFFFFFF"/>
      <name val="Noto Sans Devanagari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8"/>
      <color rgb="FF000000"/>
      <name val="Noto Sans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E8F5E9"/>
        <bgColor rgb="FFFFF8DC"/>
      </patternFill>
    </fill>
    <fill>
      <patternFill patternType="solid">
        <fgColor rgb="FF1E7145"/>
        <bgColor rgb="FF008080"/>
      </patternFill>
    </fill>
    <fill>
      <patternFill patternType="solid">
        <fgColor rgb="FFC8E6C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B71C1C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878787"/>
      <rgbColor rgb="FF9999FF"/>
      <rgbColor rgb="FFC0504D"/>
      <rgbColor rgb="FFFFF8D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बजट बनाम खर्च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बजट!B8</c:f>
              <c:strCache>
                <c:ptCount val="1"/>
                <c:pt idx="0">
                  <c:v>बजट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बजट!$A$9:$A$18</c:f>
              <c:strCache>
                <c:ptCount val="10"/>
                <c:pt idx="0">
                  <c:v>किराया</c:v>
                </c:pt>
                <c:pt idx="1">
                  <c:v>राशन</c:v>
                </c:pt>
                <c:pt idx="2">
                  <c:v>बिजली/पानी</c:v>
                </c:pt>
                <c:pt idx="3">
                  <c:v>मोबाइल/इंटरनेट</c:v>
                </c:pt>
                <c:pt idx="4">
                  <c:v>बच्चों की पढ़ाई</c:v>
                </c:pt>
                <c:pt idx="5">
                  <c:v>दवाई</c:v>
                </c:pt>
                <c:pt idx="6">
                  <c:v>पेट्रोल</c:v>
                </c:pt>
                <c:pt idx="7">
                  <c:v>बाहर खाना</c:v>
                </c:pt>
                <c:pt idx="8">
                  <c:v>कपड़े</c:v>
                </c:pt>
                <c:pt idx="9">
                  <c:v>EMI</c:v>
                </c:pt>
              </c:strCache>
            </c:strRef>
          </c:cat>
          <c:val>
            <c:numRef>
              <c:f>बजट!$B$9:$B$18</c:f>
              <c:numCache>
                <c:formatCode>\₹#,##0.00</c:formatCode>
                <c:ptCount val="10"/>
                <c:pt idx="0">
                  <c:v>12000</c:v>
                </c:pt>
                <c:pt idx="1">
                  <c:v>7000</c:v>
                </c:pt>
                <c:pt idx="2">
                  <c:v>2000</c:v>
                </c:pt>
                <c:pt idx="3">
                  <c:v>800</c:v>
                </c:pt>
                <c:pt idx="4">
                  <c:v>5000</c:v>
                </c:pt>
                <c:pt idx="5">
                  <c:v>1500</c:v>
                </c:pt>
                <c:pt idx="6">
                  <c:v>2500</c:v>
                </c:pt>
                <c:pt idx="7">
                  <c:v>1500</c:v>
                </c:pt>
                <c:pt idx="8">
                  <c:v>1500</c:v>
                </c:pt>
                <c:pt idx="9">
                  <c:v>4000</c:v>
                </c:pt>
              </c:numCache>
            </c:numRef>
          </c:val>
        </c:ser>
        <c:ser>
          <c:idx val="1"/>
          <c:order val="1"/>
          <c:tx>
            <c:strRef>
              <c:f>बजट!C8</c:f>
              <c:strCache>
                <c:ptCount val="1"/>
                <c:pt idx="0">
                  <c:v>असली खर्च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बजट!$A$9:$A$18</c:f>
              <c:strCache>
                <c:ptCount val="10"/>
                <c:pt idx="0">
                  <c:v>किराया</c:v>
                </c:pt>
                <c:pt idx="1">
                  <c:v>राशन</c:v>
                </c:pt>
                <c:pt idx="2">
                  <c:v>बिजली/पानी</c:v>
                </c:pt>
                <c:pt idx="3">
                  <c:v>मोबाइल/इंटरनेट</c:v>
                </c:pt>
                <c:pt idx="4">
                  <c:v>बच्चों की पढ़ाई</c:v>
                </c:pt>
                <c:pt idx="5">
                  <c:v>दवाई</c:v>
                </c:pt>
                <c:pt idx="6">
                  <c:v>पेट्रोल</c:v>
                </c:pt>
                <c:pt idx="7">
                  <c:v>बाहर खाना</c:v>
                </c:pt>
                <c:pt idx="8">
                  <c:v>कपड़े</c:v>
                </c:pt>
                <c:pt idx="9">
                  <c:v>EMI</c:v>
                </c:pt>
              </c:strCache>
            </c:strRef>
          </c:cat>
          <c:val>
            <c:numRef>
              <c:f>बजट!$C$9:$C$18</c:f>
              <c:numCache>
                <c:formatCode>\₹#,##0.00</c:formatCode>
                <c:ptCount val="10"/>
                <c:pt idx="0">
                  <c:v>12000</c:v>
                </c:pt>
                <c:pt idx="1">
                  <c:v>7650</c:v>
                </c:pt>
                <c:pt idx="2">
                  <c:v>1840</c:v>
                </c:pt>
                <c:pt idx="3">
                  <c:v>799</c:v>
                </c:pt>
                <c:pt idx="4">
                  <c:v>5000</c:v>
                </c:pt>
                <c:pt idx="5">
                  <c:v>600</c:v>
                </c:pt>
                <c:pt idx="6">
                  <c:v>3100</c:v>
                </c:pt>
                <c:pt idx="7">
                  <c:v>2350</c:v>
                </c:pt>
                <c:pt idx="8">
                  <c:v>900</c:v>
                </c:pt>
                <c:pt idx="9">
                  <c:v>4000</c:v>
                </c:pt>
              </c:numCache>
            </c:numRef>
          </c:val>
        </c:ser>
        <c:gapWidth val="150"/>
        <c:overlap val="0"/>
        <c:axId val="93651455"/>
        <c:axId val="88278821"/>
      </c:barChart>
      <c:catAx>
        <c:axId val="936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278821"/>
        <c:crosses val="autoZero"/>
        <c:auto val="1"/>
        <c:lblAlgn val="ctr"/>
        <c:lblOffset val="100"/>
        <c:noMultiLvlLbl val="0"/>
      </c:catAx>
      <c:valAx>
        <c:axId val="88278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651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181080</xdr:rowOff>
    </xdr:from>
    <xdr:to>
      <xdr:col>16</xdr:col>
      <xdr:colOff>364680</xdr:colOff>
      <xdr:row>15</xdr:row>
      <xdr:rowOff>177120</xdr:rowOff>
    </xdr:to>
    <xdr:graphicFrame>
      <xdr:nvGraphicFramePr>
        <xdr:cNvPr id="0" name="Chart 1"/>
        <xdr:cNvGraphicFramePr/>
      </xdr:nvGraphicFramePr>
      <xdr:xfrm>
        <a:off x="5968440" y="571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v>45000</v>
      </c>
    </row>
    <row r="5" customFormat="false" ht="15" hidden="false" customHeight="false" outlineLevel="0" collapsed="false">
      <c r="A5" s="3" t="s">
        <v>3</v>
      </c>
      <c r="B5" s="5" t="n">
        <f aca="false">C19</f>
        <v>38239</v>
      </c>
    </row>
    <row r="6" customFormat="false" ht="15" hidden="false" customHeight="false" outlineLevel="0" collapsed="false">
      <c r="A6" s="3" t="s">
        <v>4</v>
      </c>
      <c r="B6" s="5" t="n">
        <f aca="false">B4-B5</f>
        <v>6761</v>
      </c>
    </row>
    <row r="7" customFormat="false" ht="16.4" hidden="false" customHeight="false" outlineLevel="0" collapsed="false">
      <c r="A7" s="3" t="s">
        <v>5</v>
      </c>
      <c r="B7" s="6" t="n">
        <f aca="false">IFERROR(B6/B4,0)</f>
        <v>0.150244444444444</v>
      </c>
    </row>
    <row r="8" customFormat="false" ht="31.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customFormat="false" ht="15" hidden="false" customHeight="false" outlineLevel="0" collapsed="false">
      <c r="A9" s="8" t="s">
        <v>11</v>
      </c>
      <c r="B9" s="9" t="n">
        <v>12000</v>
      </c>
      <c r="C9" s="9" t="n">
        <v>12000</v>
      </c>
      <c r="D9" s="5" t="n">
        <f aca="false">B9-C9</f>
        <v>0</v>
      </c>
      <c r="E9" s="10" t="str">
        <f aca="false">IF(C9&gt;B9,"ज़्यादा खर्च","ठीक")</f>
        <v>ठीक</v>
      </c>
    </row>
    <row r="10" customFormat="false" ht="15" hidden="false" customHeight="false" outlineLevel="0" collapsed="false">
      <c r="A10" s="8" t="s">
        <v>12</v>
      </c>
      <c r="B10" s="9" t="n">
        <v>7000</v>
      </c>
      <c r="C10" s="9" t="n">
        <v>7650</v>
      </c>
      <c r="D10" s="5" t="n">
        <f aca="false">B10-C10</f>
        <v>-650</v>
      </c>
      <c r="E10" s="10" t="str">
        <f aca="false">IF(C10&gt;B10,"ज़्यादा खर्च","ठीक")</f>
        <v>ज़्यादा खर्च</v>
      </c>
    </row>
    <row r="11" customFormat="false" ht="15" hidden="false" customHeight="false" outlineLevel="0" collapsed="false">
      <c r="A11" s="8" t="s">
        <v>13</v>
      </c>
      <c r="B11" s="9" t="n">
        <v>2000</v>
      </c>
      <c r="C11" s="9" t="n">
        <v>1840</v>
      </c>
      <c r="D11" s="5" t="n">
        <f aca="false">B11-C11</f>
        <v>160</v>
      </c>
      <c r="E11" s="10" t="str">
        <f aca="false">IF(C11&gt;B11,"ज़्यादा खर्च","ठीक")</f>
        <v>ठीक</v>
      </c>
    </row>
    <row r="12" customFormat="false" ht="15" hidden="false" customHeight="false" outlineLevel="0" collapsed="false">
      <c r="A12" s="8" t="s">
        <v>14</v>
      </c>
      <c r="B12" s="9" t="n">
        <v>800</v>
      </c>
      <c r="C12" s="9" t="n">
        <v>799</v>
      </c>
      <c r="D12" s="5" t="n">
        <f aca="false">B12-C12</f>
        <v>1</v>
      </c>
      <c r="E12" s="10" t="str">
        <f aca="false">IF(C12&gt;B12,"ज़्यादा खर्च","ठीक")</f>
        <v>ठीक</v>
      </c>
    </row>
    <row r="13" customFormat="false" ht="15" hidden="false" customHeight="false" outlineLevel="0" collapsed="false">
      <c r="A13" s="8" t="s">
        <v>15</v>
      </c>
      <c r="B13" s="9" t="n">
        <v>5000</v>
      </c>
      <c r="C13" s="9" t="n">
        <v>5000</v>
      </c>
      <c r="D13" s="5" t="n">
        <f aca="false">B13-C13</f>
        <v>0</v>
      </c>
      <c r="E13" s="10" t="str">
        <f aca="false">IF(C13&gt;B13,"ज़्यादा खर्च","ठीक")</f>
        <v>ठीक</v>
      </c>
    </row>
    <row r="14" customFormat="false" ht="15" hidden="false" customHeight="false" outlineLevel="0" collapsed="false">
      <c r="A14" s="8" t="s">
        <v>16</v>
      </c>
      <c r="B14" s="9" t="n">
        <v>1500</v>
      </c>
      <c r="C14" s="9" t="n">
        <v>600</v>
      </c>
      <c r="D14" s="5" t="n">
        <f aca="false">B14-C14</f>
        <v>900</v>
      </c>
      <c r="E14" s="10" t="str">
        <f aca="false">IF(C14&gt;B14,"ज़्यादा खर्च","ठीक")</f>
        <v>ठीक</v>
      </c>
    </row>
    <row r="15" customFormat="false" ht="15" hidden="false" customHeight="false" outlineLevel="0" collapsed="false">
      <c r="A15" s="8" t="s">
        <v>17</v>
      </c>
      <c r="B15" s="9" t="n">
        <v>2500</v>
      </c>
      <c r="C15" s="9" t="n">
        <v>3100</v>
      </c>
      <c r="D15" s="5" t="n">
        <f aca="false">B15-C15</f>
        <v>-600</v>
      </c>
      <c r="E15" s="10" t="str">
        <f aca="false">IF(C15&gt;B15,"ज़्यादा खर्च","ठीक")</f>
        <v>ज़्यादा खर्च</v>
      </c>
    </row>
    <row r="16" customFormat="false" ht="15" hidden="false" customHeight="false" outlineLevel="0" collapsed="false">
      <c r="A16" s="8" t="s">
        <v>18</v>
      </c>
      <c r="B16" s="9" t="n">
        <v>1500</v>
      </c>
      <c r="C16" s="9" t="n">
        <v>2350</v>
      </c>
      <c r="D16" s="5" t="n">
        <f aca="false">B16-C16</f>
        <v>-850</v>
      </c>
      <c r="E16" s="10" t="str">
        <f aca="false">IF(C16&gt;B16,"ज़्यादा खर्च","ठीक")</f>
        <v>ज़्यादा खर्च</v>
      </c>
    </row>
    <row r="17" customFormat="false" ht="15" hidden="false" customHeight="false" outlineLevel="0" collapsed="false">
      <c r="A17" s="8" t="s">
        <v>19</v>
      </c>
      <c r="B17" s="9" t="n">
        <v>1500</v>
      </c>
      <c r="C17" s="9" t="n">
        <v>900</v>
      </c>
      <c r="D17" s="5" t="n">
        <f aca="false">B17-C17</f>
        <v>600</v>
      </c>
      <c r="E17" s="10" t="str">
        <f aca="false">IF(C17&gt;B17,"ज़्यादा खर्च","ठीक")</f>
        <v>ठीक</v>
      </c>
    </row>
    <row r="18" customFormat="false" ht="15" hidden="false" customHeight="false" outlineLevel="0" collapsed="false">
      <c r="A18" s="8" t="s">
        <v>20</v>
      </c>
      <c r="B18" s="9" t="n">
        <v>4000</v>
      </c>
      <c r="C18" s="9" t="n">
        <v>4000</v>
      </c>
      <c r="D18" s="5" t="n">
        <f aca="false">B18-C18</f>
        <v>0</v>
      </c>
      <c r="E18" s="10" t="str">
        <f aca="false">IF(C18&gt;B18,"ज़्यादा खर्च","ठीक")</f>
        <v>ठीक</v>
      </c>
    </row>
    <row r="19" customFormat="false" ht="15" hidden="false" customHeight="false" outlineLevel="0" collapsed="false">
      <c r="A19" s="11" t="s">
        <v>21</v>
      </c>
      <c r="B19" s="12" t="n">
        <f aca="false">SUM(B9:B18)</f>
        <v>37800</v>
      </c>
      <c r="C19" s="12" t="n">
        <f aca="false">SUM(C9:C18)</f>
        <v>38239</v>
      </c>
      <c r="D19" s="12" t="n">
        <f aca="false">SUM(D9:D18)</f>
        <v>-439</v>
      </c>
    </row>
  </sheetData>
  <mergeCells count="2">
    <mergeCell ref="A1:E1"/>
    <mergeCell ref="A2:E2"/>
  </mergeCells>
  <conditionalFormatting sqref="D9:D1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2026-10-16T10:04:49Z</dcterms:created>
  <dc:creator>openpyxl</dc:creator>
  <dc:description/>
  <dc:language>en-US</dc:language>
  <cp:lastModifiedBy/>
  <dcterms:modified xsi:type="dcterms:W3CDTF">2026-10-16T10:04:49Z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