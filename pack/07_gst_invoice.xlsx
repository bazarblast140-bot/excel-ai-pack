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ST_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<sst xmlns="http://schemas.openxmlformats.org/spreadsheetml/2006/main" count="31" uniqueCount="29">
  <si>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r>
      <rPr>
        <b val="true"/>
        <sz val="14"/>
        <color rgb="FF1E7145"/>
        <rFont val="Noto Sans Devanagari"/>
        <family val="0"/>
        <charset val="1"/>
      </rPr>
      <t xml:space="preserve">टैक्स इनवॉइस </t>
    </r>
    <r>
      <rPr>
        <b val="true"/>
        <sz val="14"/>
        <color rgb="FF1E7145"/>
        <rFont val="Calibri"/>
        <family val="2"/>
        <charset val="1"/>
      </rPr>
      <t xml:space="preserve">(GST Invoice)</t>
    </r>
  </si>
  <si>
    <t xml:space="preserve">इंट्रा-स्टेट बिक्री: GST = CGST + SGST (आधा-आधा)</t>
  </si>
  <si>
    <r>
      <rPr>
        <b val="true"/>
        <sz val="11"/>
        <rFont val="Noto Sans Devanagari"/>
        <family val="0"/>
        <charset val="1"/>
      </rPr>
      <t xml:space="preserve">इनवॉइस नं</t>
    </r>
    <r>
      <rPr>
        <b val="true"/>
        <sz val="11"/>
        <rFont val="Calibri"/>
        <family val="2"/>
        <charset val="1"/>
      </rPr>
      <t xml:space="preserve">.</t>
    </r>
  </si>
  <si>
    <t xml:space="preserve">बिल क्रम</t>
  </si>
  <si>
    <t xml:space="preserve">तारीख</t>
  </si>
  <si>
    <t xml:space="preserve">ग्राहक</t>
  </si>
  <si>
    <t xml:space="preserve">शर्मा ट्रेडर्स, जयपुर</t>
  </si>
  <si>
    <t xml:space="preserve">Due Date</t>
  </si>
  <si>
    <t xml:space="preserve">विवरण</t>
  </si>
  <si>
    <t xml:space="preserve">HSN</t>
  </si>
  <si>
    <t xml:space="preserve">Qty</t>
  </si>
  <si>
    <t xml:space="preserve">रेट</t>
  </si>
  <si>
    <t xml:space="preserve">Taxable</t>
  </si>
  <si>
    <t xml:space="preserve">GST %</t>
  </si>
  <si>
    <t xml:space="preserve">CGST</t>
  </si>
  <si>
    <t xml:space="preserve">SGST</t>
  </si>
  <si>
    <t xml:space="preserve">कुल</t>
  </si>
  <si>
    <t xml:space="preserve">LED बल्ब 9W</t>
  </si>
  <si>
    <t xml:space="preserve">9405</t>
  </si>
  <si>
    <t xml:space="preserve">एक्सटेंशन बोर्ड</t>
  </si>
  <si>
    <t xml:space="preserve">8536</t>
  </si>
  <si>
    <t xml:space="preserve">वायर 90m</t>
  </si>
  <si>
    <t xml:space="preserve">8544</t>
  </si>
  <si>
    <t xml:space="preserve">स्विच (पैक 10)</t>
  </si>
  <si>
    <t xml:space="preserve">टेप</t>
  </si>
  <si>
    <t xml:space="preserve">3919</t>
  </si>
  <si>
    <t xml:space="preserve">Round Off</t>
  </si>
  <si>
    <t xml:space="preserve">देय राशि</t>
  </si>
  <si>
    <t xml:space="preserve">शब्दों के लिए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</si>
</sst>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\₹#,##0.00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7145"/>
      <name val="Noto Sans Devanagari"/>
      <family val="0"/>
      <charset val="1"/>
    </font>
    <font>
      <b val="true"/>
      <sz val="14"/>
      <color rgb="FF1E7145"/>
      <name val="Calibri"/>
      <family val="2"/>
      <charset val="1"/>
    </font>
    <font>
      <i val="true"/>
      <sz val="9"/>
      <color rgb="FF666666"/>
      <name val="Noto Sans Devanagari"/>
      <family val="0"/>
      <charset val="1"/>
    </font>
    <font>
      <b val="true"/>
      <sz val="11"/>
      <name val="Noto Sans Devanagari"/>
      <family val="0"/>
      <charset val="1"/>
    </font>
    <font>
      <b val="true"/>
      <sz val="11"/>
      <name val="Calibri"/>
      <family val="2"/>
      <charset val="1"/>
    </font>
    <font>
      <sz val="11"/>
      <name val="Noto Sans Devanagari"/>
      <family val="0"/>
      <charset val="1"/>
    </font>
    <font>
      <b val="true"/>
      <sz val="11"/>
      <color rgb="FFFFFFFF"/>
      <name val="Noto Sans Devanagari"/>
      <family val="0"/>
      <charset val="1"/>
    </font>
    <font>
      <b val="true"/>
      <sz val="11"/>
      <color rgb="FFFFFFFF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8F5E9"/>
        <bgColor rgb="FFFFF8DC"/>
      </patternFill>
    </fill>
    <fill>
      <patternFill patternType="solid">
        <fgColor rgb="FFFFF8DC"/>
        <bgColor rgb="FFFFFFFF"/>
      </patternFill>
    </fill>
    <fill>
      <patternFill patternType="solid">
        <fgColor rgb="FF1E7145"/>
        <bgColor rgb="FF008080"/>
      </patternFill>
    </fill>
    <fill>
      <patternFill patternType="solid">
        <fgColor rgb="FFC8E6C9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BBBBB"/>
      <rgbColor rgb="FF808080"/>
      <rgbColor rgb="FF9999FF"/>
      <rgbColor rgb="FF993366"/>
      <rgbColor rgb="FFFFF8D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8" min="7" style="0" width="10"/>
    <col collapsed="false" customWidth="true" hidden="false" outlineLevel="0" max="9" min="9" style="0" width="12"/>
  </cols>
  <sheetData>
    <row r="1" customFormat="false" ht="20.8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4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6.4" hidden="false" customHeight="false" outlineLevel="0" collapsed="false">
      <c r="A4" s="3" t="s">
        <v>2</v>
      </c>
      <c r="B4" s="4" t="str">
        <f aca="false">"INV-"&amp;TEXT(B6,"YYMMDD")&amp;"-"&amp;TEXT(B5,"000")</f>
        <v>INV-261016-027</v>
      </c>
    </row>
    <row r="5" customFormat="false" ht="15" hidden="false" customHeight="false" outlineLevel="0" collapsed="false">
      <c r="A5" s="3" t="s">
        <v>3</v>
      </c>
      <c r="B5" s="5" t="n">
        <v>27</v>
      </c>
    </row>
    <row r="6" customFormat="false" ht="15" hidden="false" customHeight="false" outlineLevel="0" collapsed="false">
      <c r="A6" s="3" t="s">
        <v>4</v>
      </c>
      <c r="B6" s="6" t="n">
        <v>46311</v>
      </c>
    </row>
    <row r="7" customFormat="false" ht="15" hidden="false" customHeight="false" outlineLevel="0" collapsed="false">
      <c r="A7" s="3" t="s">
        <v>5</v>
      </c>
      <c r="B7" s="5" t="s">
        <v>6</v>
      </c>
    </row>
    <row r="8" customFormat="false" ht="15" hidden="false" customHeight="false" outlineLevel="0" collapsed="false">
      <c r="A8" s="7" t="s">
        <v>7</v>
      </c>
      <c r="B8" s="8" t="n">
        <f aca="false">B6+15</f>
        <v>46326</v>
      </c>
    </row>
    <row r="10" customFormat="false" ht="31.5" hidden="false" customHeight="true" outlineLevel="0" collapsed="false">
      <c r="A10" s="9" t="s">
        <v>8</v>
      </c>
      <c r="B10" s="10" t="s">
        <v>9</v>
      </c>
      <c r="C10" s="10" t="s">
        <v>10</v>
      </c>
      <c r="D10" s="9" t="s">
        <v>11</v>
      </c>
      <c r="E10" s="10" t="s">
        <v>12</v>
      </c>
      <c r="F10" s="10" t="s">
        <v>13</v>
      </c>
      <c r="G10" s="10" t="s">
        <v>14</v>
      </c>
      <c r="H10" s="10" t="s">
        <v>15</v>
      </c>
      <c r="I10" s="9" t="s">
        <v>16</v>
      </c>
    </row>
    <row r="11" customFormat="false" ht="15" hidden="false" customHeight="false" outlineLevel="0" collapsed="false">
      <c r="A11" s="11" t="s">
        <v>17</v>
      </c>
      <c r="B11" s="11" t="s">
        <v>18</v>
      </c>
      <c r="C11" s="11" t="n">
        <v>20</v>
      </c>
      <c r="D11" s="12" t="n">
        <v>85</v>
      </c>
      <c r="E11" s="13" t="n">
        <f aca="false">C11*D11</f>
        <v>1700</v>
      </c>
      <c r="F11" s="14" t="n">
        <v>0.12</v>
      </c>
      <c r="G11" s="13" t="n">
        <f aca="false">ROUND(E11*F11/2,2)</f>
        <v>102</v>
      </c>
      <c r="H11" s="13" t="n">
        <f aca="false">ROUND(E11*F11/2,2)</f>
        <v>102</v>
      </c>
      <c r="I11" s="13" t="n">
        <f aca="false">E11+G11+H11</f>
        <v>1904</v>
      </c>
    </row>
    <row r="12" customFormat="false" ht="15" hidden="false" customHeight="false" outlineLevel="0" collapsed="false">
      <c r="A12" s="11" t="s">
        <v>19</v>
      </c>
      <c r="B12" s="11" t="s">
        <v>20</v>
      </c>
      <c r="C12" s="11" t="n">
        <v>5</v>
      </c>
      <c r="D12" s="12" t="n">
        <v>340</v>
      </c>
      <c r="E12" s="13" t="n">
        <f aca="false">C12*D12</f>
        <v>1700</v>
      </c>
      <c r="F12" s="14" t="n">
        <v>0.18</v>
      </c>
      <c r="G12" s="13" t="n">
        <f aca="false">ROUND(E12*F12/2,2)</f>
        <v>153</v>
      </c>
      <c r="H12" s="13" t="n">
        <f aca="false">ROUND(E12*F12/2,2)</f>
        <v>153</v>
      </c>
      <c r="I12" s="13" t="n">
        <f aca="false">E12+G12+H12</f>
        <v>2006</v>
      </c>
    </row>
    <row r="13" customFormat="false" ht="15" hidden="false" customHeight="false" outlineLevel="0" collapsed="false">
      <c r="A13" s="11" t="s">
        <v>21</v>
      </c>
      <c r="B13" s="11" t="s">
        <v>22</v>
      </c>
      <c r="C13" s="11" t="n">
        <v>2</v>
      </c>
      <c r="D13" s="12" t="n">
        <v>1650</v>
      </c>
      <c r="E13" s="13" t="n">
        <f aca="false">C13*D13</f>
        <v>3300</v>
      </c>
      <c r="F13" s="14" t="n">
        <v>0.18</v>
      </c>
      <c r="G13" s="13" t="n">
        <f aca="false">ROUND(E13*F13/2,2)</f>
        <v>297</v>
      </c>
      <c r="H13" s="13" t="n">
        <f aca="false">ROUND(E13*F13/2,2)</f>
        <v>297</v>
      </c>
      <c r="I13" s="13" t="n">
        <f aca="false">E13+G13+H13</f>
        <v>3894</v>
      </c>
    </row>
    <row r="14" customFormat="false" ht="15" hidden="false" customHeight="false" outlineLevel="0" collapsed="false">
      <c r="A14" s="11" t="s">
        <v>23</v>
      </c>
      <c r="B14" s="11" t="s">
        <v>20</v>
      </c>
      <c r="C14" s="11" t="n">
        <v>3</v>
      </c>
      <c r="D14" s="12" t="n">
        <v>420</v>
      </c>
      <c r="E14" s="13" t="n">
        <f aca="false">C14*D14</f>
        <v>1260</v>
      </c>
      <c r="F14" s="14" t="n">
        <v>0.18</v>
      </c>
      <c r="G14" s="13" t="n">
        <f aca="false">ROUND(E14*F14/2,2)</f>
        <v>113.4</v>
      </c>
      <c r="H14" s="13" t="n">
        <f aca="false">ROUND(E14*F14/2,2)</f>
        <v>113.4</v>
      </c>
      <c r="I14" s="13" t="n">
        <f aca="false">E14+G14+H14</f>
        <v>1486.8</v>
      </c>
    </row>
    <row r="15" customFormat="false" ht="15" hidden="false" customHeight="false" outlineLevel="0" collapsed="false">
      <c r="A15" s="11" t="s">
        <v>24</v>
      </c>
      <c r="B15" s="11" t="s">
        <v>25</v>
      </c>
      <c r="C15" s="11" t="n">
        <v>10</v>
      </c>
      <c r="D15" s="12" t="n">
        <v>25</v>
      </c>
      <c r="E15" s="13" t="n">
        <f aca="false">C15*D15</f>
        <v>250</v>
      </c>
      <c r="F15" s="14" t="n">
        <v>0.18</v>
      </c>
      <c r="G15" s="13" t="n">
        <f aca="false">ROUND(E15*F15/2,2)</f>
        <v>22.5</v>
      </c>
      <c r="H15" s="13" t="n">
        <f aca="false">ROUND(E15*F15/2,2)</f>
        <v>22.5</v>
      </c>
      <c r="I15" s="13" t="n">
        <f aca="false">E15+G15+H15</f>
        <v>295</v>
      </c>
    </row>
    <row r="16" customFormat="false" ht="15" hidden="false" customHeight="false" outlineLevel="0" collapsed="false">
      <c r="A16" s="15" t="s">
        <v>16</v>
      </c>
      <c r="E16" s="16" t="n">
        <f aca="false">SUM(E11:E15)</f>
        <v>8210</v>
      </c>
      <c r="G16" s="16" t="n">
        <f aca="false">SUM(G11:G15)</f>
        <v>687.9</v>
      </c>
      <c r="H16" s="16" t="n">
        <f aca="false">SUM(H11:H15)</f>
        <v>687.9</v>
      </c>
      <c r="I16" s="16" t="n">
        <f aca="false">SUM(I11:I15)</f>
        <v>9585.8</v>
      </c>
    </row>
    <row r="18" customFormat="false" ht="15" hidden="false" customHeight="false" outlineLevel="0" collapsed="false">
      <c r="A18" s="7" t="s">
        <v>26</v>
      </c>
      <c r="B18" s="13" t="n">
        <f aca="false">ROUND(I16,0)-I16</f>
        <v>0.200000000000728</v>
      </c>
    </row>
    <row r="19" customFormat="false" ht="15" hidden="false" customHeight="false" outlineLevel="0" collapsed="false">
      <c r="A19" s="3" t="s">
        <v>27</v>
      </c>
      <c r="B19" s="13" t="n">
        <f aca="false">ROUND(I16,0)</f>
        <v>9586</v>
      </c>
    </row>
    <row r="20" customFormat="false" ht="15" hidden="false" customHeight="false" outlineLevel="0" collapsed="false">
      <c r="A20" s="3" t="s">
        <v>28</v>
      </c>
      <c r="B20" s="4" t="str">
        <f aca="false">"₹ "&amp;TEXT(B19,"#,##0")&amp;" मात्र"</f>
        <v>₹ 9,586 मात्र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2026-10-16T10:04:49Z</dcterms:created>
  <dc:creator>openpyxl</dc:creator>
  <dc:description/>
  <dc:language>en-US</dc:language>
  <cp:lastModifiedBy/>
  <dcterms:modified xsi:type="dcterms:W3CDTF">2026-10-16T10:04:49Z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