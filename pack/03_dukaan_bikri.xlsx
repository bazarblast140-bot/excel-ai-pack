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बिक्री" sheetId="1" state="visible" r:id="rId3"/>
    <sheet name="सारांश" sheetId="2" state="visible" r:id="rId4"/>
    <sheet name="प्रोडक्ट_लिस्ट" sheetId="3" state="visible" r:id="rId5"/>
    <sheet name="फॉर्मूला_लै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<sst xmlns="http://schemas.openxmlformats.org/spreadsheetml/2006/main" count="130" uniqueCount="80">
  <si>
    <t xml:space="preserve">दुकान बिक्री रजिस्टर – अक्टूबर</t>
  </si>
  <si>
    <t xml:space="preserve">पीले = आप भरें, हरे = फॉर्मूला। Code डालते ही नाम/रेट अपने-आप आएगा।</t>
  </si>
  <si>
    <t xml:space="preserve">तारीख</t>
  </si>
  <si>
    <t xml:space="preserve">Code</t>
  </si>
  <si>
    <t xml:space="preserve">प्रोडक्ट</t>
  </si>
  <si>
    <t xml:space="preserve">कैटेगरी</t>
  </si>
  <si>
    <t xml:space="preserve">Qty</t>
  </si>
  <si>
    <t xml:space="preserve">रेट</t>
  </si>
  <si>
    <t xml:space="preserve">Amount</t>
  </si>
  <si>
    <t xml:space="preserve">Discount</t>
  </si>
  <si>
    <t xml:space="preserve">Net</t>
  </si>
  <si>
    <t xml:space="preserve">पेमेंट</t>
  </si>
  <si>
    <t xml:space="preserve">P06</t>
  </si>
  <si>
    <t xml:space="preserve">उधार</t>
  </si>
  <si>
    <t xml:space="preserve">P01</t>
  </si>
  <si>
    <t xml:space="preserve">Cash</t>
  </si>
  <si>
    <t xml:space="preserve">P04</t>
  </si>
  <si>
    <t xml:space="preserve">P07</t>
  </si>
  <si>
    <t xml:space="preserve">UPI</t>
  </si>
  <si>
    <t xml:space="preserve">P05</t>
  </si>
  <si>
    <t xml:space="preserve">P02</t>
  </si>
  <si>
    <t xml:space="preserve">P03</t>
  </si>
  <si>
    <t xml:space="preserve">P08</t>
  </si>
  <si>
    <t xml:space="preserve">कुल</t>
  </si>
  <si>
    <r>
      <rPr>
        <b val="true"/>
        <sz val="14"/>
        <color rgb="FF1E7145"/>
        <rFont val="Noto Sans Devanagari"/>
        <family val="0"/>
        <charset val="1"/>
      </rPr>
      <t xml:space="preserve">बिक्री सारांश </t>
    </r>
    <r>
      <rPr>
        <b val="true"/>
        <sz val="14"/>
        <color rgb="FF1E7145"/>
        <rFont val="Calibri"/>
        <family val="2"/>
        <charset val="1"/>
      </rPr>
      <t xml:space="preserve">(SUMIF / COUNTIF / Pivot-</t>
    </r>
    <r>
      <rPr>
        <b val="true"/>
        <sz val="14"/>
        <color rgb="FF1E7145"/>
        <rFont val="Noto Sans Devanagari"/>
        <family val="0"/>
        <charset val="1"/>
      </rPr>
      <t xml:space="preserve">जैसा</t>
    </r>
    <r>
      <rPr>
        <b val="true"/>
        <sz val="14"/>
        <color rgb="FF1E7145"/>
        <rFont val="Calibri"/>
        <family val="2"/>
        <charset val="1"/>
      </rPr>
      <t xml:space="preserve">)</t>
    </r>
  </si>
  <si>
    <t xml:space="preserve">सारे आंकड़े बिक्री शीट से फॉर्मूलों द्वारा</t>
  </si>
  <si>
    <r>
      <rPr>
        <b val="true"/>
        <sz val="11"/>
        <rFont val="Noto Sans Devanagari"/>
        <family val="0"/>
        <charset val="1"/>
      </rPr>
      <t xml:space="preserve">कुल </t>
    </r>
    <r>
      <rPr>
        <b val="true"/>
        <sz val="11"/>
        <rFont val="Calibri"/>
        <family val="2"/>
        <charset val="1"/>
      </rPr>
      <t xml:space="preserve">Net </t>
    </r>
    <r>
      <rPr>
        <b val="true"/>
        <sz val="11"/>
        <rFont val="Noto Sans Devanagari"/>
        <family val="0"/>
        <charset val="1"/>
      </rPr>
      <t xml:space="preserve">बिक्री</t>
    </r>
  </si>
  <si>
    <t xml:space="preserve">औसत बिल</t>
  </si>
  <si>
    <t xml:space="preserve">सबसे बड़ा बिल</t>
  </si>
  <si>
    <t xml:space="preserve">सबसे छोटा बिल</t>
  </si>
  <si>
    <t xml:space="preserve">कुल एंट्री</t>
  </si>
  <si>
    <r>
      <rPr>
        <b val="true"/>
        <sz val="11"/>
        <rFont val="Calibri"/>
        <family val="2"/>
        <charset val="1"/>
      </rPr>
      <t xml:space="preserve">UPI </t>
    </r>
    <r>
      <rPr>
        <b val="true"/>
        <sz val="11"/>
        <rFont val="Noto Sans Devanagari"/>
        <family val="0"/>
        <charset val="1"/>
      </rPr>
      <t xml:space="preserve">वाले बिल</t>
    </r>
  </si>
  <si>
    <r>
      <rPr>
        <b val="true"/>
        <sz val="11"/>
        <rFont val="Calibri"/>
        <family val="2"/>
        <charset val="1"/>
      </rPr>
      <t xml:space="preserve">₹1000+ </t>
    </r>
    <r>
      <rPr>
        <b val="true"/>
        <sz val="11"/>
        <rFont val="Noto Sans Devanagari"/>
        <family val="0"/>
        <charset val="1"/>
      </rPr>
      <t xml:space="preserve">वाले बिल</t>
    </r>
  </si>
  <si>
    <t xml:space="preserve">उधार की बिक्री</t>
  </si>
  <si>
    <r>
      <rPr>
        <b val="true"/>
        <sz val="11"/>
        <color rgb="FFFFFFFF"/>
        <rFont val="Calibri"/>
        <family val="2"/>
        <charset val="1"/>
      </rPr>
      <t xml:space="preserve">Net </t>
    </r>
    <r>
      <rPr>
        <b val="true"/>
        <sz val="11"/>
        <color rgb="FFFFFFFF"/>
        <rFont val="Noto Sans Devanagari"/>
        <family val="0"/>
        <charset val="1"/>
      </rPr>
      <t xml:space="preserve">बिक्री</t>
    </r>
  </si>
  <si>
    <t xml:space="preserve">बिल संख्या</t>
  </si>
  <si>
    <r>
      <rPr>
        <b val="true"/>
        <sz val="11"/>
        <color rgb="FFFFFFFF"/>
        <rFont val="Calibri"/>
        <family val="2"/>
        <charset val="1"/>
      </rPr>
      <t xml:space="preserve">UPI </t>
    </r>
    <r>
      <rPr>
        <b val="true"/>
        <sz val="11"/>
        <color rgb="FFFFFFFF"/>
        <rFont val="Noto Sans Devanagari"/>
        <family val="0"/>
        <charset val="1"/>
      </rPr>
      <t xml:space="preserve">बिक्री</t>
    </r>
  </si>
  <si>
    <t xml:space="preserve">किराना</t>
  </si>
  <si>
    <t xml:space="preserve">घरेलू</t>
  </si>
  <si>
    <t xml:space="preserve">स्नैक्स</t>
  </si>
  <si>
    <r>
      <rPr>
        <b val="true"/>
        <sz val="11"/>
        <rFont val="Noto Sans Devanagari"/>
        <family val="0"/>
        <charset val="1"/>
      </rPr>
      <t xml:space="preserve">किराना </t>
    </r>
    <r>
      <rPr>
        <b val="true"/>
        <sz val="11"/>
        <rFont val="Calibri"/>
        <family val="2"/>
        <charset val="1"/>
      </rPr>
      <t xml:space="preserve">+ UPI </t>
    </r>
    <r>
      <rPr>
        <b val="true"/>
        <sz val="11"/>
        <rFont val="Noto Sans Devanagari"/>
        <family val="0"/>
        <charset val="1"/>
      </rPr>
      <t xml:space="preserve">बिल </t>
    </r>
    <r>
      <rPr>
        <b val="true"/>
        <sz val="11"/>
        <rFont val="Calibri"/>
        <family val="2"/>
        <charset val="1"/>
      </rPr>
      <t xml:space="preserve">(COUNTIFS)</t>
    </r>
  </si>
  <si>
    <r>
      <rPr>
        <b val="true"/>
        <sz val="11"/>
        <rFont val="Calibri"/>
        <family val="2"/>
        <charset val="1"/>
      </rPr>
      <t xml:space="preserve">P03 </t>
    </r>
    <r>
      <rPr>
        <b val="true"/>
        <sz val="11"/>
        <rFont val="Noto Sans Devanagari"/>
        <family val="0"/>
        <charset val="1"/>
      </rPr>
      <t xml:space="preserve">का रेट </t>
    </r>
    <r>
      <rPr>
        <b val="true"/>
        <sz val="11"/>
        <rFont val="Calibri"/>
        <family val="2"/>
        <charset val="1"/>
      </rPr>
      <t xml:space="preserve">(INDEX+MATCH)</t>
    </r>
  </si>
  <si>
    <r>
      <rPr>
        <b val="true"/>
        <sz val="11"/>
        <rFont val="Calibri"/>
        <family val="2"/>
        <charset val="1"/>
      </rPr>
      <t xml:space="preserve">P99 </t>
    </r>
    <r>
      <rPr>
        <b val="true"/>
        <sz val="11"/>
        <rFont val="Noto Sans Devanagari"/>
        <family val="0"/>
        <charset val="1"/>
      </rPr>
      <t xml:space="preserve">का रेट </t>
    </r>
    <r>
      <rPr>
        <b val="true"/>
        <sz val="11"/>
        <rFont val="Calibri"/>
        <family val="2"/>
        <charset val="1"/>
      </rPr>
      <t xml:space="preserve">(IFERROR)</t>
    </r>
  </si>
  <si>
    <t xml:space="preserve">प्रोडक्ट मास्टर लिस्ट</t>
  </si>
  <si>
    <t xml:space="preserve">VLOOKUP / XLOOKUP यहीं से नाम और रेट उठाते हैं</t>
  </si>
  <si>
    <r>
      <rPr>
        <b val="true"/>
        <sz val="11"/>
        <color rgb="FFFFFFFF"/>
        <rFont val="Noto Sans Devanagari"/>
        <family val="0"/>
        <charset val="1"/>
      </rPr>
      <t xml:space="preserve">रेट </t>
    </r>
    <r>
      <rPr>
        <b val="true"/>
        <sz val="11"/>
        <color rgb="FFFFFFFF"/>
        <rFont val="Calibri"/>
        <family val="2"/>
        <charset val="1"/>
      </rPr>
      <t xml:space="preserve">(₹)</t>
    </r>
  </si>
  <si>
    <t xml:space="preserve">चावल 5kg</t>
  </si>
  <si>
    <t xml:space="preserve">आटा 10kg</t>
  </si>
  <si>
    <t xml:space="preserve">सरसों तेल 1L</t>
  </si>
  <si>
    <t xml:space="preserve">साबुन (4 पैक)</t>
  </si>
  <si>
    <t xml:space="preserve">डिटर्जेंट 1kg</t>
  </si>
  <si>
    <t xml:space="preserve">बिस्किट पैक</t>
  </si>
  <si>
    <t xml:space="preserve">नमकीन 400g</t>
  </si>
  <si>
    <t xml:space="preserve">चाय पत्ती 500g</t>
  </si>
  <si>
    <r>
      <rPr>
        <b val="true"/>
        <sz val="14"/>
        <color rgb="FF1E7145"/>
        <rFont val="Noto Sans Devanagari"/>
        <family val="0"/>
        <charset val="1"/>
      </rPr>
      <t xml:space="preserve">फॉर्मूला लैब – </t>
    </r>
    <r>
      <rPr>
        <b val="true"/>
        <sz val="14"/>
        <color rgb="FF1E7145"/>
        <rFont val="Calibri"/>
        <family val="2"/>
        <charset val="1"/>
      </rPr>
      <t xml:space="preserve">Text </t>
    </r>
    <r>
      <rPr>
        <b val="true"/>
        <sz val="14"/>
        <color rgb="FF1E7145"/>
        <rFont val="Noto Sans Devanagari"/>
        <family val="0"/>
        <charset val="1"/>
      </rPr>
      <t xml:space="preserve">और </t>
    </r>
    <r>
      <rPr>
        <b val="true"/>
        <sz val="14"/>
        <color rgb="FF1E7145"/>
        <rFont val="Calibri"/>
        <family val="2"/>
        <charset val="1"/>
      </rPr>
      <t xml:space="preserve">Date </t>
    </r>
    <r>
      <rPr>
        <b val="true"/>
        <sz val="14"/>
        <color rgb="FF1E7145"/>
        <rFont val="Noto Sans Devanagari"/>
        <family val="0"/>
        <charset val="1"/>
      </rPr>
      <t xml:space="preserve">फॉर्मूले</t>
    </r>
  </si>
  <si>
    <t xml:space="preserve">कच्चा डेटा (पीला) → साफ़ डेटा (हरा)</t>
  </si>
  <si>
    <t xml:space="preserve">रेफ़रेंस तारीख</t>
  </si>
  <si>
    <r>
      <rPr>
        <b val="true"/>
        <sz val="11"/>
        <rFont val="Noto Sans Devanagari"/>
        <family val="0"/>
        <charset val="1"/>
      </rPr>
      <t xml:space="preserve">आज </t>
    </r>
    <r>
      <rPr>
        <b val="true"/>
        <sz val="11"/>
        <rFont val="Calibri"/>
        <family val="2"/>
        <charset val="1"/>
      </rPr>
      <t xml:space="preserve">(TODAY)</t>
    </r>
  </si>
  <si>
    <r>
      <rPr>
        <b val="true"/>
        <sz val="11"/>
        <color rgb="FFFFFFFF"/>
        <rFont val="Noto Sans Devanagari"/>
        <family val="0"/>
        <charset val="1"/>
      </rPr>
      <t xml:space="preserve">नाम </t>
    </r>
    <r>
      <rPr>
        <b val="true"/>
        <sz val="11"/>
        <color rgb="FFFFFFFF"/>
        <rFont val="Calibri"/>
        <family val="2"/>
        <charset val="1"/>
      </rPr>
      <t xml:space="preserve">(</t>
    </r>
    <r>
      <rPr>
        <b val="true"/>
        <sz val="11"/>
        <color rgb="FFFFFFFF"/>
        <rFont val="Noto Sans Devanagari"/>
        <family val="0"/>
        <charset val="1"/>
      </rPr>
      <t xml:space="preserve">कच्चा</t>
    </r>
    <r>
      <rPr>
        <b val="true"/>
        <sz val="11"/>
        <color rgb="FFFFFFFF"/>
        <rFont val="Calibri"/>
        <family val="2"/>
        <charset val="1"/>
      </rPr>
      <t xml:space="preserve">)</t>
    </r>
  </si>
  <si>
    <t xml:space="preserve">मोबाइल</t>
  </si>
  <si>
    <t xml:space="preserve">दिन</t>
  </si>
  <si>
    <t xml:space="preserve">महीना</t>
  </si>
  <si>
    <t xml:space="preserve">साल</t>
  </si>
  <si>
    <t xml:space="preserve">साफ़ नाम</t>
  </si>
  <si>
    <t xml:space="preserve">मोबाइल फ़ॉर्मेट</t>
  </si>
  <si>
    <t xml:space="preserve">जन्म तारीख</t>
  </si>
  <si>
    <r>
      <rPr>
        <b val="true"/>
        <sz val="11"/>
        <color rgb="FFFFFFFF"/>
        <rFont val="Noto Sans Devanagari"/>
        <family val="0"/>
        <charset val="1"/>
      </rPr>
      <t xml:space="preserve">उम्र </t>
    </r>
    <r>
      <rPr>
        <b val="true"/>
        <sz val="11"/>
        <color rgb="FFFFFFFF"/>
        <rFont val="Calibri"/>
        <family val="2"/>
        <charset val="1"/>
      </rPr>
      <t xml:space="preserve">(</t>
    </r>
    <r>
      <rPr>
        <b val="true"/>
        <sz val="11"/>
        <color rgb="FFFFFFFF"/>
        <rFont val="Noto Sans Devanagari"/>
        <family val="0"/>
        <charset val="1"/>
      </rPr>
      <t xml:space="preserve">साल</t>
    </r>
    <r>
      <rPr>
        <b val="true"/>
        <sz val="11"/>
        <color rgb="FFFFFFFF"/>
        <rFont val="Calibri"/>
        <family val="2"/>
        <charset val="1"/>
      </rPr>
      <t xml:space="preserve">)</t>
    </r>
  </si>
  <si>
    <t xml:space="preserve">तारीख टेक्स्ट</t>
  </si>
  <si>
    <t xml:space="preserve">ग्राहक कोड</t>
  </si>
  <si>
    <r>
      <rPr>
        <b val="true"/>
        <sz val="11"/>
        <color rgb="FFFFFFFF"/>
        <rFont val="Noto Sans Devanagari"/>
        <family val="0"/>
        <charset val="1"/>
      </rPr>
      <t xml:space="preserve">योग्य</t>
    </r>
    <r>
      <rPr>
        <b val="true"/>
        <sz val="11"/>
        <color rgb="FFFFFFFF"/>
        <rFont val="Calibri"/>
        <family val="2"/>
        <charset val="1"/>
      </rPr>
      <t xml:space="preserve">?</t>
    </r>
  </si>
  <si>
    <t xml:space="preserve">  ramesh   kumar </t>
  </si>
  <si>
    <t xml:space="preserve">9876543210</t>
  </si>
  <si>
    <t xml:space="preserve">SEEMA devi</t>
  </si>
  <si>
    <t xml:space="preserve">9123456789</t>
  </si>
  <si>
    <t xml:space="preserve"> anil sharma</t>
  </si>
  <si>
    <t xml:space="preserve">98765 43210</t>
  </si>
  <si>
    <t xml:space="preserve">geeta   RANI  </t>
  </si>
  <si>
    <t xml:space="preserve">9988776655</t>
  </si>
  <si>
    <t xml:space="preserve">mohd. irfan</t>
  </si>
  <si>
    <t xml:space="preserve">9012345678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</si>
</sst>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\₹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7145"/>
      <name val="Noto Sans Devanagari"/>
      <family val="0"/>
      <charset val="1"/>
    </font>
    <font>
      <i val="true"/>
      <sz val="9"/>
      <color rgb="FF666666"/>
      <name val="Noto Sans Devanagari"/>
      <family val="0"/>
      <charset val="1"/>
    </font>
    <font>
      <b val="true"/>
      <sz val="11"/>
      <color rgb="FFFFFFFF"/>
      <name val="Noto Sans Devanagari"/>
      <family val="0"/>
      <charset val="1"/>
    </font>
    <font>
      <b val="true"/>
      <sz val="11"/>
      <color rgb="FFFFFFFF"/>
      <name val="Calibri"/>
      <family val="2"/>
      <charset val="1"/>
    </font>
    <font>
      <sz val="11"/>
      <name val="Noto Sans Devanagari"/>
      <family val="0"/>
      <charset val="1"/>
    </font>
    <font>
      <b val="true"/>
      <sz val="11"/>
      <name val="Noto Sans Devanagari"/>
      <family val="0"/>
      <charset val="1"/>
    </font>
    <font>
      <b val="true"/>
      <sz val="11"/>
      <name val="Calibri"/>
      <family val="2"/>
      <charset val="1"/>
    </font>
    <font>
      <b val="true"/>
      <sz val="14"/>
      <color rgb="FF1E7145"/>
      <name val="Calibri"/>
      <family val="2"/>
      <charset val="1"/>
    </font>
    <font>
      <b val="true"/>
      <sz val="18"/>
      <color rgb="FF000000"/>
      <name val="Noto Sans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E8F5E9"/>
        <bgColor rgb="FFFFF8DC"/>
      </patternFill>
    </fill>
    <fill>
      <patternFill patternType="solid">
        <fgColor rgb="FFC8E6C9"/>
        <bgColor rgb="FFD9D9D9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D54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BBBBB"/>
      <rgbColor rgb="FF878787"/>
      <rgbColor rgb="FF9999FF"/>
      <rgbColor rgb="FF993366"/>
      <rgbColor rgb="FFFFF8DC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D54F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कैटेगरी अनुसार बिक्री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सारांश!B13</c:f>
              <c:strCache>
                <c:ptCount val="1"/>
                <c:pt idx="0">
                  <c:v>Net बिक्री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सारांश!$A$14:$A$16</c:f>
              <c:strCache>
                <c:ptCount val="3"/>
                <c:pt idx="0">
                  <c:v>किराना</c:v>
                </c:pt>
                <c:pt idx="1">
                  <c:v>घरेलू</c:v>
                </c:pt>
                <c:pt idx="2">
                  <c:v>स्नैक्स</c:v>
                </c:pt>
              </c:strCache>
            </c:strRef>
          </c:cat>
          <c:val>
            <c:numRef>
              <c:f>सारांश!$B$14:$B$16</c:f>
              <c:numCache>
                <c:formatCode>\₹#,##0.00</c:formatCode>
                <c:ptCount val="3"/>
                <c:pt idx="0">
                  <c:v>22174</c:v>
                </c:pt>
                <c:pt idx="1">
                  <c:v>2279</c:v>
                </c:pt>
                <c:pt idx="2">
                  <c:v>1520</c:v>
                </c:pt>
              </c:numCache>
            </c:numRef>
          </c:val>
        </c:ser>
        <c:gapWidth val="150"/>
        <c:overlap val="0"/>
        <c:axId val="22561378"/>
        <c:axId val="85897305"/>
      </c:barChart>
      <c:catAx>
        <c:axId val="22561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97305"/>
        <c:crosses val="autoZero"/>
        <c:auto val="1"/>
        <c:lblAlgn val="ctr"/>
        <c:lblOffset val="100"/>
        <c:noMultiLvlLbl val="0"/>
      </c:catAx>
      <c:valAx>
        <c:axId val="85897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61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116280</xdr:rowOff>
    </xdr:from>
    <xdr:to>
      <xdr:col>13</xdr:col>
      <xdr:colOff>507600</xdr:colOff>
      <xdr:row>15</xdr:row>
      <xdr:rowOff>76680</xdr:rowOff>
    </xdr:to>
    <xdr:graphicFrame>
      <xdr:nvGraphicFramePr>
        <xdr:cNvPr id="0" name="Chart 1"/>
        <xdr:cNvGraphicFramePr/>
      </xdr:nvGraphicFramePr>
      <xdr:xfrm>
        <a:off x="49816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4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3" t="s">
        <v>11</v>
      </c>
    </row>
    <row r="5" customFormat="false" ht="15" hidden="false" customHeight="false" outlineLevel="0" collapsed="false">
      <c r="A5" s="5" t="n">
        <v>46296</v>
      </c>
      <c r="B5" s="6" t="s">
        <v>12</v>
      </c>
      <c r="C5" s="7" t="str">
        <f aca="false">VLOOKUP(B5,प्रोडक्ट_लिस्ट!$A$5:$D$12,2,FALSE())</f>
        <v>बिस्किट पैक</v>
      </c>
      <c r="D5" s="7" t="str">
        <f aca="false">_xlfn.XLOOKUP(B5,प्रोडक्ट_लिस्ट!$A$5:$A$12,प्रोडक्ट_लिस्ट!$C$5:$C$12,"नहीं मिला")</f>
        <v>स्नैक्स</v>
      </c>
      <c r="E5" s="6" t="n">
        <v>3</v>
      </c>
      <c r="F5" s="8" t="n">
        <f aca="false">VLOOKUP(B5,प्रोडक्ट_लिस्ट!$A$5:$D$12,4,FALSE())</f>
        <v>30</v>
      </c>
      <c r="G5" s="8" t="n">
        <f aca="false">E5*F5</f>
        <v>90</v>
      </c>
      <c r="H5" s="8" t="n">
        <f aca="false">IF(G5&gt;=1000,ROUND(G5*5%,0),0)</f>
        <v>0</v>
      </c>
      <c r="I5" s="8" t="n">
        <f aca="false">G5-H5</f>
        <v>90</v>
      </c>
      <c r="J5" s="6" t="s">
        <v>13</v>
      </c>
    </row>
    <row r="6" customFormat="false" ht="15" hidden="false" customHeight="false" outlineLevel="0" collapsed="false">
      <c r="A6" s="5" t="n">
        <v>46297</v>
      </c>
      <c r="B6" s="6" t="s">
        <v>14</v>
      </c>
      <c r="C6" s="7" t="str">
        <f aca="false">VLOOKUP(B6,प्रोडक्ट_लिस्ट!$A$5:$D$12,2,FALSE())</f>
        <v>चावल 5kg</v>
      </c>
      <c r="D6" s="7" t="str">
        <f aca="false">_xlfn.XLOOKUP(B6,प्रोडक्ट_लिस्ट!$A$5:$A$12,प्रोडक्ट_लिस्ट!$C$5:$C$12,"नहीं मिला")</f>
        <v>किराना</v>
      </c>
      <c r="E6" s="6" t="n">
        <v>2</v>
      </c>
      <c r="F6" s="8" t="n">
        <f aca="false">VLOOKUP(B6,प्रोडक्ट_लिस्ट!$A$5:$D$12,4,FALSE())</f>
        <v>320</v>
      </c>
      <c r="G6" s="8" t="n">
        <f aca="false">E6*F6</f>
        <v>640</v>
      </c>
      <c r="H6" s="8" t="n">
        <f aca="false">IF(G6&gt;=1000,ROUND(G6*5%,0),0)</f>
        <v>0</v>
      </c>
      <c r="I6" s="8" t="n">
        <f aca="false">G6-H6</f>
        <v>640</v>
      </c>
      <c r="J6" s="6" t="s">
        <v>15</v>
      </c>
    </row>
    <row r="7" customFormat="false" ht="15" hidden="false" customHeight="false" outlineLevel="0" collapsed="false">
      <c r="A7" s="5" t="n">
        <v>46298</v>
      </c>
      <c r="B7" s="6" t="s">
        <v>12</v>
      </c>
      <c r="C7" s="7" t="str">
        <f aca="false">VLOOKUP(B7,प्रोडक्ट_लिस्ट!$A$5:$D$12,2,FALSE())</f>
        <v>बिस्किट पैक</v>
      </c>
      <c r="D7" s="7" t="str">
        <f aca="false">_xlfn.XLOOKUP(B7,प्रोडक्ट_लिस्ट!$A$5:$A$12,प्रोडक्ट_लिस्ट!$C$5:$C$12,"नहीं मिला")</f>
        <v>स्नैक्स</v>
      </c>
      <c r="E7" s="6" t="n">
        <v>10</v>
      </c>
      <c r="F7" s="8" t="n">
        <f aca="false">VLOOKUP(B7,प्रोडक्ट_लिस्ट!$A$5:$D$12,4,FALSE())</f>
        <v>30</v>
      </c>
      <c r="G7" s="8" t="n">
        <f aca="false">E7*F7</f>
        <v>300</v>
      </c>
      <c r="H7" s="8" t="n">
        <f aca="false">IF(G7&gt;=1000,ROUND(G7*5%,0),0)</f>
        <v>0</v>
      </c>
      <c r="I7" s="8" t="n">
        <f aca="false">G7-H7</f>
        <v>300</v>
      </c>
      <c r="J7" s="6" t="s">
        <v>15</v>
      </c>
    </row>
    <row r="8" customFormat="false" ht="15" hidden="false" customHeight="false" outlineLevel="0" collapsed="false">
      <c r="A8" s="5" t="n">
        <v>46299</v>
      </c>
      <c r="B8" s="6" t="s">
        <v>16</v>
      </c>
      <c r="C8" s="7" t="str">
        <f aca="false">VLOOKUP(B8,प्रोडक्ट_लिस्ट!$A$5:$D$12,2,FALSE())</f>
        <v>साबुन (4 पैक)</v>
      </c>
      <c r="D8" s="7" t="str">
        <f aca="false">_xlfn.XLOOKUP(B8,प्रोडक्ट_लिस्ट!$A$5:$A$12,प्रोडक्ट_लिस्ट!$C$5:$C$12,"नहीं मिला")</f>
        <v>घरेलू</v>
      </c>
      <c r="E8" s="6" t="n">
        <v>1</v>
      </c>
      <c r="F8" s="8" t="n">
        <f aca="false">VLOOKUP(B8,प्रोडक्ट_लिस्ट!$A$5:$D$12,4,FALSE())</f>
        <v>120</v>
      </c>
      <c r="G8" s="8" t="n">
        <f aca="false">E8*F8</f>
        <v>120</v>
      </c>
      <c r="H8" s="8" t="n">
        <f aca="false">IF(G8&gt;=1000,ROUND(G8*5%,0),0)</f>
        <v>0</v>
      </c>
      <c r="I8" s="8" t="n">
        <f aca="false">G8-H8</f>
        <v>120</v>
      </c>
      <c r="J8" s="6" t="s">
        <v>15</v>
      </c>
    </row>
    <row r="9" customFormat="false" ht="15" hidden="false" customHeight="false" outlineLevel="0" collapsed="false">
      <c r="A9" s="5" t="n">
        <v>46300</v>
      </c>
      <c r="B9" s="6" t="s">
        <v>17</v>
      </c>
      <c r="C9" s="7" t="str">
        <f aca="false">VLOOKUP(B9,प्रोडक्ट_लिस्ट!$A$5:$D$12,2,FALSE())</f>
        <v>नमकीन 400g</v>
      </c>
      <c r="D9" s="7" t="str">
        <f aca="false">_xlfn.XLOOKUP(B9,प्रोडक्ट_लिस्ट!$A$5:$A$12,प्रोडक्ट_लिस्ट!$C$5:$C$12,"नहीं मिला")</f>
        <v>स्नैक्स</v>
      </c>
      <c r="E9" s="6" t="n">
        <v>7</v>
      </c>
      <c r="F9" s="8" t="n">
        <f aca="false">VLOOKUP(B9,प्रोडक्ट_लिस्ट!$A$5:$D$12,4,FALSE())</f>
        <v>85</v>
      </c>
      <c r="G9" s="8" t="n">
        <f aca="false">E9*F9</f>
        <v>595</v>
      </c>
      <c r="H9" s="8" t="n">
        <f aca="false">IF(G9&gt;=1000,ROUND(G9*5%,0),0)</f>
        <v>0</v>
      </c>
      <c r="I9" s="8" t="n">
        <f aca="false">G9-H9</f>
        <v>595</v>
      </c>
      <c r="J9" s="6" t="s">
        <v>15</v>
      </c>
    </row>
    <row r="10" customFormat="false" ht="15" hidden="false" customHeight="false" outlineLevel="0" collapsed="false">
      <c r="A10" s="5" t="n">
        <v>46301</v>
      </c>
      <c r="B10" s="6" t="s">
        <v>16</v>
      </c>
      <c r="C10" s="7" t="str">
        <f aca="false">VLOOKUP(B10,प्रोडक्ट_लिस्ट!$A$5:$D$12,2,FALSE())</f>
        <v>साबुन (4 पैक)</v>
      </c>
      <c r="D10" s="7" t="str">
        <f aca="false">_xlfn.XLOOKUP(B10,प्रोडक्ट_लिस्ट!$A$5:$A$12,प्रोडक्ट_लिस्ट!$C$5:$C$12,"नहीं मिला")</f>
        <v>घरेलू</v>
      </c>
      <c r="E10" s="6" t="n">
        <v>2</v>
      </c>
      <c r="F10" s="8" t="n">
        <f aca="false">VLOOKUP(B10,प्रोडक्ट_लिस्ट!$A$5:$D$12,4,FALSE())</f>
        <v>120</v>
      </c>
      <c r="G10" s="8" t="n">
        <f aca="false">E10*F10</f>
        <v>240</v>
      </c>
      <c r="H10" s="8" t="n">
        <f aca="false">IF(G10&gt;=1000,ROUND(G10*5%,0),0)</f>
        <v>0</v>
      </c>
      <c r="I10" s="8" t="n">
        <f aca="false">G10-H10</f>
        <v>240</v>
      </c>
      <c r="J10" s="6" t="s">
        <v>13</v>
      </c>
    </row>
    <row r="11" customFormat="false" ht="15" hidden="false" customHeight="false" outlineLevel="0" collapsed="false">
      <c r="A11" s="5" t="n">
        <v>46302</v>
      </c>
      <c r="B11" s="6" t="s">
        <v>14</v>
      </c>
      <c r="C11" s="7" t="str">
        <f aca="false">VLOOKUP(B11,प्रोडक्ट_लिस्ट!$A$5:$D$12,2,FALSE())</f>
        <v>चावल 5kg</v>
      </c>
      <c r="D11" s="7" t="str">
        <f aca="false">_xlfn.XLOOKUP(B11,प्रोडक्ट_लिस्ट!$A$5:$A$12,प्रोडक्ट_लिस्ट!$C$5:$C$12,"नहीं मिला")</f>
        <v>किराना</v>
      </c>
      <c r="E11" s="6" t="n">
        <v>10</v>
      </c>
      <c r="F11" s="8" t="n">
        <f aca="false">VLOOKUP(B11,प्रोडक्ट_लिस्ट!$A$5:$D$12,4,FALSE())</f>
        <v>320</v>
      </c>
      <c r="G11" s="8" t="n">
        <f aca="false">E11*F11</f>
        <v>3200</v>
      </c>
      <c r="H11" s="8" t="n">
        <f aca="false">IF(G11&gt;=1000,ROUND(G11*5%,0),0)</f>
        <v>160</v>
      </c>
      <c r="I11" s="8" t="n">
        <f aca="false">G11-H11</f>
        <v>3040</v>
      </c>
      <c r="J11" s="6" t="s">
        <v>15</v>
      </c>
    </row>
    <row r="12" customFormat="false" ht="15" hidden="false" customHeight="false" outlineLevel="0" collapsed="false">
      <c r="A12" s="5" t="n">
        <v>46303</v>
      </c>
      <c r="B12" s="6" t="s">
        <v>16</v>
      </c>
      <c r="C12" s="7" t="str">
        <f aca="false">VLOOKUP(B12,प्रोडक्ट_लिस्ट!$A$5:$D$12,2,FALSE())</f>
        <v>साबुन (4 पैक)</v>
      </c>
      <c r="D12" s="7" t="str">
        <f aca="false">_xlfn.XLOOKUP(B12,प्रोडक्ट_लिस्ट!$A$5:$A$12,प्रोडक्ट_लिस्ट!$C$5:$C$12,"नहीं मिला")</f>
        <v>घरेलू</v>
      </c>
      <c r="E12" s="6" t="n">
        <v>11</v>
      </c>
      <c r="F12" s="8" t="n">
        <f aca="false">VLOOKUP(B12,प्रोडक्ट_लिस्ट!$A$5:$D$12,4,FALSE())</f>
        <v>120</v>
      </c>
      <c r="G12" s="8" t="n">
        <f aca="false">E12*F12</f>
        <v>1320</v>
      </c>
      <c r="H12" s="8" t="n">
        <f aca="false">IF(G12&gt;=1000,ROUND(G12*5%,0),0)</f>
        <v>66</v>
      </c>
      <c r="I12" s="8" t="n">
        <f aca="false">G12-H12</f>
        <v>1254</v>
      </c>
      <c r="J12" s="6" t="s">
        <v>15</v>
      </c>
    </row>
    <row r="13" customFormat="false" ht="15" hidden="false" customHeight="false" outlineLevel="0" collapsed="false">
      <c r="A13" s="5" t="n">
        <v>46304</v>
      </c>
      <c r="B13" s="6" t="s">
        <v>17</v>
      </c>
      <c r="C13" s="7" t="str">
        <f aca="false">VLOOKUP(B13,प्रोडक्ट_लिस्ट!$A$5:$D$12,2,FALSE())</f>
        <v>नमकीन 400g</v>
      </c>
      <c r="D13" s="7" t="str">
        <f aca="false">_xlfn.XLOOKUP(B13,प्रोडक्ट_लिस्ट!$A$5:$A$12,प्रोडक्ट_लिस्ट!$C$5:$C$12,"नहीं मिला")</f>
        <v>स्नैक्स</v>
      </c>
      <c r="E13" s="6" t="n">
        <v>1</v>
      </c>
      <c r="F13" s="8" t="n">
        <f aca="false">VLOOKUP(B13,प्रोडक्ट_लिस्ट!$A$5:$D$12,4,FALSE())</f>
        <v>85</v>
      </c>
      <c r="G13" s="8" t="n">
        <f aca="false">E13*F13</f>
        <v>85</v>
      </c>
      <c r="H13" s="8" t="n">
        <f aca="false">IF(G13&gt;=1000,ROUND(G13*5%,0),0)</f>
        <v>0</v>
      </c>
      <c r="I13" s="8" t="n">
        <f aca="false">G13-H13</f>
        <v>85</v>
      </c>
      <c r="J13" s="6" t="s">
        <v>18</v>
      </c>
    </row>
    <row r="14" customFormat="false" ht="15" hidden="false" customHeight="false" outlineLevel="0" collapsed="false">
      <c r="A14" s="5" t="n">
        <v>46305</v>
      </c>
      <c r="B14" s="6" t="s">
        <v>14</v>
      </c>
      <c r="C14" s="7" t="str">
        <f aca="false">VLOOKUP(B14,प्रोडक्ट_लिस्ट!$A$5:$D$12,2,FALSE())</f>
        <v>चावल 5kg</v>
      </c>
      <c r="D14" s="7" t="str">
        <f aca="false">_xlfn.XLOOKUP(B14,प्रोडक्ट_लिस्ट!$A$5:$A$12,प्रोडक्ट_लिस्ट!$C$5:$C$12,"नहीं मिला")</f>
        <v>किराना</v>
      </c>
      <c r="E14" s="6" t="n">
        <v>9</v>
      </c>
      <c r="F14" s="8" t="n">
        <f aca="false">VLOOKUP(B14,प्रोडक्ट_लिस्ट!$A$5:$D$12,4,FALSE())</f>
        <v>320</v>
      </c>
      <c r="G14" s="8" t="n">
        <f aca="false">E14*F14</f>
        <v>2880</v>
      </c>
      <c r="H14" s="8" t="n">
        <f aca="false">IF(G14&gt;=1000,ROUND(G14*5%,0),0)</f>
        <v>144</v>
      </c>
      <c r="I14" s="8" t="n">
        <f aca="false">G14-H14</f>
        <v>2736</v>
      </c>
      <c r="J14" s="6" t="s">
        <v>18</v>
      </c>
    </row>
    <row r="15" customFormat="false" ht="15" hidden="false" customHeight="false" outlineLevel="0" collapsed="false">
      <c r="A15" s="5" t="n">
        <v>46306</v>
      </c>
      <c r="B15" s="6" t="s">
        <v>19</v>
      </c>
      <c r="C15" s="7" t="str">
        <f aca="false">VLOOKUP(B15,प्रोडक्ट_लिस्ट!$A$5:$D$12,2,FALSE())</f>
        <v>डिटर्जेंट 1kg</v>
      </c>
      <c r="D15" s="7" t="str">
        <f aca="false">_xlfn.XLOOKUP(B15,प्रोडक्ट_लिस्ट!$A$5:$A$12,प्रोडक्ट_लिस्ट!$C$5:$C$12,"नहीं मिला")</f>
        <v>घरेलू</v>
      </c>
      <c r="E15" s="6" t="n">
        <v>7</v>
      </c>
      <c r="F15" s="8" t="n">
        <f aca="false">VLOOKUP(B15,प्रोडक्ट_लिस्ट!$A$5:$D$12,4,FALSE())</f>
        <v>95</v>
      </c>
      <c r="G15" s="8" t="n">
        <f aca="false">E15*F15</f>
        <v>665</v>
      </c>
      <c r="H15" s="8" t="n">
        <f aca="false">IF(G15&gt;=1000,ROUND(G15*5%,0),0)</f>
        <v>0</v>
      </c>
      <c r="I15" s="8" t="n">
        <f aca="false">G15-H15</f>
        <v>665</v>
      </c>
      <c r="J15" s="6" t="s">
        <v>18</v>
      </c>
    </row>
    <row r="16" customFormat="false" ht="15" hidden="false" customHeight="false" outlineLevel="0" collapsed="false">
      <c r="A16" s="5" t="n">
        <v>46307</v>
      </c>
      <c r="B16" s="6" t="s">
        <v>20</v>
      </c>
      <c r="C16" s="7" t="str">
        <f aca="false">VLOOKUP(B16,प्रोडक्ट_लिस्ट!$A$5:$D$12,2,FALSE())</f>
        <v>आटा 10kg</v>
      </c>
      <c r="D16" s="7" t="str">
        <f aca="false">_xlfn.XLOOKUP(B16,प्रोडक्ट_लिस्ट!$A$5:$A$12,प्रोडक्ट_लिस्ट!$C$5:$C$12,"नहीं मिला")</f>
        <v>किराना</v>
      </c>
      <c r="E16" s="6" t="n">
        <v>10</v>
      </c>
      <c r="F16" s="8" t="n">
        <f aca="false">VLOOKUP(B16,प्रोडक्ट_लिस्ट!$A$5:$D$12,4,FALSE())</f>
        <v>410</v>
      </c>
      <c r="G16" s="8" t="n">
        <f aca="false">E16*F16</f>
        <v>4100</v>
      </c>
      <c r="H16" s="8" t="n">
        <f aca="false">IF(G16&gt;=1000,ROUND(G16*5%,0),0)</f>
        <v>205</v>
      </c>
      <c r="I16" s="8" t="n">
        <f aca="false">G16-H16</f>
        <v>3895</v>
      </c>
      <c r="J16" s="6" t="s">
        <v>18</v>
      </c>
    </row>
    <row r="17" customFormat="false" ht="15" hidden="false" customHeight="false" outlineLevel="0" collapsed="false">
      <c r="A17" s="5" t="n">
        <v>46308</v>
      </c>
      <c r="B17" s="6" t="s">
        <v>21</v>
      </c>
      <c r="C17" s="7" t="str">
        <f aca="false">VLOOKUP(B17,प्रोडक्ट_लिस्ट!$A$5:$D$12,2,FALSE())</f>
        <v>सरसों तेल 1L</v>
      </c>
      <c r="D17" s="7" t="str">
        <f aca="false">_xlfn.XLOOKUP(B17,प्रोडक्ट_लिस्ट!$A$5:$A$12,प्रोडक्ट_लिस्ट!$C$5:$C$12,"नहीं मिला")</f>
        <v>किराना</v>
      </c>
      <c r="E17" s="6" t="n">
        <v>2</v>
      </c>
      <c r="F17" s="8" t="n">
        <f aca="false">VLOOKUP(B17,प्रोडक्ट_लिस्ट!$A$5:$D$12,4,FALSE())</f>
        <v>165</v>
      </c>
      <c r="G17" s="8" t="n">
        <f aca="false">E17*F17</f>
        <v>330</v>
      </c>
      <c r="H17" s="8" t="n">
        <f aca="false">IF(G17&gt;=1000,ROUND(G17*5%,0),0)</f>
        <v>0</v>
      </c>
      <c r="I17" s="8" t="n">
        <f aca="false">G17-H17</f>
        <v>330</v>
      </c>
      <c r="J17" s="6" t="s">
        <v>18</v>
      </c>
    </row>
    <row r="18" customFormat="false" ht="15" hidden="false" customHeight="false" outlineLevel="0" collapsed="false">
      <c r="A18" s="5" t="n">
        <v>46309</v>
      </c>
      <c r="B18" s="6" t="s">
        <v>12</v>
      </c>
      <c r="C18" s="7" t="str">
        <f aca="false">VLOOKUP(B18,प्रोडक्ट_लिस्ट!$A$5:$D$12,2,FALSE())</f>
        <v>बिस्किट पैक</v>
      </c>
      <c r="D18" s="7" t="str">
        <f aca="false">_xlfn.XLOOKUP(B18,प्रोडक्ट_लिस्ट!$A$5:$A$12,प्रोडक्ट_लिस्ट!$C$5:$C$12,"नहीं मिला")</f>
        <v>स्नैक्स</v>
      </c>
      <c r="E18" s="6" t="n">
        <v>2</v>
      </c>
      <c r="F18" s="8" t="n">
        <f aca="false">VLOOKUP(B18,प्रोडक्ट_लिस्ट!$A$5:$D$12,4,FALSE())</f>
        <v>30</v>
      </c>
      <c r="G18" s="8" t="n">
        <f aca="false">E18*F18</f>
        <v>60</v>
      </c>
      <c r="H18" s="8" t="n">
        <f aca="false">IF(G18&gt;=1000,ROUND(G18*5%,0),0)</f>
        <v>0</v>
      </c>
      <c r="I18" s="8" t="n">
        <f aca="false">G18-H18</f>
        <v>60</v>
      </c>
      <c r="J18" s="6" t="s">
        <v>15</v>
      </c>
    </row>
    <row r="19" customFormat="false" ht="15" hidden="false" customHeight="false" outlineLevel="0" collapsed="false">
      <c r="A19" s="5" t="n">
        <v>46310</v>
      </c>
      <c r="B19" s="6" t="s">
        <v>14</v>
      </c>
      <c r="C19" s="7" t="str">
        <f aca="false">VLOOKUP(B19,प्रोडक्ट_लिस्ट!$A$5:$D$12,2,FALSE())</f>
        <v>चावल 5kg</v>
      </c>
      <c r="D19" s="7" t="str">
        <f aca="false">_xlfn.XLOOKUP(B19,प्रोडक्ट_लिस्ट!$A$5:$A$12,प्रोडक्ट_लिस्ट!$C$5:$C$12,"नहीं मिला")</f>
        <v>किराना</v>
      </c>
      <c r="E19" s="6" t="n">
        <v>10</v>
      </c>
      <c r="F19" s="8" t="n">
        <f aca="false">VLOOKUP(B19,प्रोडक्ट_लिस्ट!$A$5:$D$12,4,FALSE())</f>
        <v>320</v>
      </c>
      <c r="G19" s="8" t="n">
        <f aca="false">E19*F19</f>
        <v>3200</v>
      </c>
      <c r="H19" s="8" t="n">
        <f aca="false">IF(G19&gt;=1000,ROUND(G19*5%,0),0)</f>
        <v>160</v>
      </c>
      <c r="I19" s="8" t="n">
        <f aca="false">G19-H19</f>
        <v>3040</v>
      </c>
      <c r="J19" s="6" t="s">
        <v>18</v>
      </c>
    </row>
    <row r="20" customFormat="false" ht="15" hidden="false" customHeight="false" outlineLevel="0" collapsed="false">
      <c r="A20" s="5" t="n">
        <v>46311</v>
      </c>
      <c r="B20" s="6" t="s">
        <v>22</v>
      </c>
      <c r="C20" s="7" t="str">
        <f aca="false">VLOOKUP(B20,प्रोडक्ट_लिस्ट!$A$5:$D$12,2,FALSE())</f>
        <v>चाय पत्ती 500g</v>
      </c>
      <c r="D20" s="7" t="str">
        <f aca="false">_xlfn.XLOOKUP(B20,प्रोडक्ट_लिस्ट!$A$5:$A$12,प्रोडक्ट_लिस्ट!$C$5:$C$12,"नहीं मिला")</f>
        <v>किराना</v>
      </c>
      <c r="E20" s="6" t="n">
        <v>11</v>
      </c>
      <c r="F20" s="8" t="n">
        <f aca="false">VLOOKUP(B20,प्रोडक्ट_लिस्ट!$A$5:$D$12,4,FALSE())</f>
        <v>260</v>
      </c>
      <c r="G20" s="8" t="n">
        <f aca="false">E20*F20</f>
        <v>2860</v>
      </c>
      <c r="H20" s="8" t="n">
        <f aca="false">IF(G20&gt;=1000,ROUND(G20*5%,0),0)</f>
        <v>143</v>
      </c>
      <c r="I20" s="8" t="n">
        <f aca="false">G20-H20</f>
        <v>2717</v>
      </c>
      <c r="J20" s="6" t="s">
        <v>13</v>
      </c>
    </row>
    <row r="21" customFormat="false" ht="15" hidden="false" customHeight="false" outlineLevel="0" collapsed="false">
      <c r="A21" s="5" t="n">
        <v>46312</v>
      </c>
      <c r="B21" s="6" t="s">
        <v>12</v>
      </c>
      <c r="C21" s="7" t="str">
        <f aca="false">VLOOKUP(B21,प्रोडक्ट_लिस्ट!$A$5:$D$12,2,FALSE())</f>
        <v>बिस्किट पैक</v>
      </c>
      <c r="D21" s="7" t="str">
        <f aca="false">_xlfn.XLOOKUP(B21,प्रोडक्ट_लिस्ट!$A$5:$A$12,प्रोडक्ट_लिस्ट!$C$5:$C$12,"नहीं मिला")</f>
        <v>स्नैक्स</v>
      </c>
      <c r="E21" s="6" t="n">
        <v>8</v>
      </c>
      <c r="F21" s="8" t="n">
        <f aca="false">VLOOKUP(B21,प्रोडक्ट_लिस्ट!$A$5:$D$12,4,FALSE())</f>
        <v>30</v>
      </c>
      <c r="G21" s="8" t="n">
        <f aca="false">E21*F21</f>
        <v>240</v>
      </c>
      <c r="H21" s="8" t="n">
        <f aca="false">IF(G21&gt;=1000,ROUND(G21*5%,0),0)</f>
        <v>0</v>
      </c>
      <c r="I21" s="8" t="n">
        <f aca="false">G21-H21</f>
        <v>240</v>
      </c>
      <c r="J21" s="6" t="s">
        <v>13</v>
      </c>
    </row>
    <row r="22" customFormat="false" ht="15" hidden="false" customHeight="false" outlineLevel="0" collapsed="false">
      <c r="A22" s="5" t="n">
        <v>46313</v>
      </c>
      <c r="B22" s="6" t="s">
        <v>12</v>
      </c>
      <c r="C22" s="7" t="str">
        <f aca="false">VLOOKUP(B22,प्रोडक्ट_लिस्ट!$A$5:$D$12,2,FALSE())</f>
        <v>बिस्किट पैक</v>
      </c>
      <c r="D22" s="7" t="str">
        <f aca="false">_xlfn.XLOOKUP(B22,प्रोडक्ट_लिस्ट!$A$5:$A$12,प्रोडक्ट_लिस्ट!$C$5:$C$12,"नहीं मिला")</f>
        <v>स्नैक्स</v>
      </c>
      <c r="E22" s="6" t="n">
        <v>5</v>
      </c>
      <c r="F22" s="8" t="n">
        <f aca="false">VLOOKUP(B22,प्रोडक्ट_लिस्ट!$A$5:$D$12,4,FALSE())</f>
        <v>30</v>
      </c>
      <c r="G22" s="8" t="n">
        <f aca="false">E22*F22</f>
        <v>150</v>
      </c>
      <c r="H22" s="8" t="n">
        <f aca="false">IF(G22&gt;=1000,ROUND(G22*5%,0),0)</f>
        <v>0</v>
      </c>
      <c r="I22" s="8" t="n">
        <f aca="false">G22-H22</f>
        <v>150</v>
      </c>
      <c r="J22" s="6" t="s">
        <v>18</v>
      </c>
    </row>
    <row r="23" customFormat="false" ht="15" hidden="false" customHeight="false" outlineLevel="0" collapsed="false">
      <c r="A23" s="5" t="n">
        <v>46314</v>
      </c>
      <c r="B23" s="6" t="s">
        <v>21</v>
      </c>
      <c r="C23" s="7" t="str">
        <f aca="false">VLOOKUP(B23,प्रोडक्ट_लिस्ट!$A$5:$D$12,2,FALSE())</f>
        <v>सरसों तेल 1L</v>
      </c>
      <c r="D23" s="7" t="str">
        <f aca="false">_xlfn.XLOOKUP(B23,प्रोडक्ट_लिस्ट!$A$5:$A$12,प्रोडक्ट_लिस्ट!$C$5:$C$12,"नहीं मिला")</f>
        <v>किराना</v>
      </c>
      <c r="E23" s="6" t="n">
        <v>12</v>
      </c>
      <c r="F23" s="8" t="n">
        <f aca="false">VLOOKUP(B23,प्रोडक्ट_लिस्ट!$A$5:$D$12,4,FALSE())</f>
        <v>165</v>
      </c>
      <c r="G23" s="8" t="n">
        <f aca="false">E23*F23</f>
        <v>1980</v>
      </c>
      <c r="H23" s="8" t="n">
        <f aca="false">IF(G23&gt;=1000,ROUND(G23*5%,0),0)</f>
        <v>99</v>
      </c>
      <c r="I23" s="8" t="n">
        <f aca="false">G23-H23</f>
        <v>1881</v>
      </c>
      <c r="J23" s="6" t="s">
        <v>18</v>
      </c>
    </row>
    <row r="24" customFormat="false" ht="15" hidden="false" customHeight="false" outlineLevel="0" collapsed="false">
      <c r="A24" s="5" t="n">
        <v>46315</v>
      </c>
      <c r="B24" s="6" t="s">
        <v>20</v>
      </c>
      <c r="C24" s="7" t="str">
        <f aca="false">VLOOKUP(B24,प्रोडक्ट_लिस्ट!$A$5:$D$12,2,FALSE())</f>
        <v>आटा 10kg</v>
      </c>
      <c r="D24" s="7" t="str">
        <f aca="false">_xlfn.XLOOKUP(B24,प्रोडक्ट_लिस्ट!$A$5:$A$12,प्रोडक्ट_लिस्ट!$C$5:$C$12,"नहीं मिला")</f>
        <v>किराना</v>
      </c>
      <c r="E24" s="6" t="n">
        <v>10</v>
      </c>
      <c r="F24" s="8" t="n">
        <f aca="false">VLOOKUP(B24,प्रोडक्ट_लिस्ट!$A$5:$D$12,4,FALSE())</f>
        <v>410</v>
      </c>
      <c r="G24" s="8" t="n">
        <f aca="false">E24*F24</f>
        <v>4100</v>
      </c>
      <c r="H24" s="8" t="n">
        <f aca="false">IF(G24&gt;=1000,ROUND(G24*5%,0),0)</f>
        <v>205</v>
      </c>
      <c r="I24" s="8" t="n">
        <f aca="false">G24-H24</f>
        <v>3895</v>
      </c>
      <c r="J24" s="6" t="s">
        <v>18</v>
      </c>
    </row>
    <row r="25" customFormat="false" ht="15" hidden="false" customHeight="false" outlineLevel="0" collapsed="false">
      <c r="A25" s="9" t="s">
        <v>23</v>
      </c>
      <c r="E25" s="9" t="n">
        <f aca="false">SUM(E5:E24)</f>
        <v>133</v>
      </c>
      <c r="G25" s="10" t="n">
        <f aca="false">SUM(G5:G24)</f>
        <v>27155</v>
      </c>
      <c r="H25" s="10" t="n">
        <f aca="false">SUM(H5:H24)</f>
        <v>1182</v>
      </c>
      <c r="I25" s="10" t="n">
        <f aca="false">SUM(I5:I24)</f>
        <v>25973</v>
      </c>
    </row>
  </sheetData>
  <mergeCells count="2">
    <mergeCell ref="A1:J1"/>
    <mergeCell ref="A2:J2"/>
  </mergeCells>
  <conditionalFormatting sqref="I5:I24">
    <cfRule type="cellIs" priority="2" operator="greaterThanOrEqual" aboveAverage="0" equalAverage="0" bottom="0" percent="0" rank="0" text="" dxfId="0">
      <formula>2000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0.85" hidden="false" customHeight="false" outlineLevel="0" collapsed="false">
      <c r="A1" s="1" t="s">
        <v>24</v>
      </c>
      <c r="B1" s="1"/>
      <c r="C1" s="1"/>
      <c r="D1" s="1"/>
    </row>
    <row r="2" customFormat="false" ht="15" hidden="false" customHeight="false" outlineLevel="0" collapsed="false">
      <c r="A2" s="2" t="s">
        <v>25</v>
      </c>
      <c r="B2" s="2"/>
      <c r="C2" s="2"/>
      <c r="D2" s="2"/>
    </row>
    <row r="4" customFormat="false" ht="16.4" hidden="false" customHeight="false" outlineLevel="0" collapsed="false">
      <c r="A4" s="11" t="s">
        <v>26</v>
      </c>
      <c r="B4" s="8" t="n">
        <f aca="false">SUM(बिक्री!I5:I24)</f>
        <v>25973</v>
      </c>
    </row>
    <row r="5" customFormat="false" ht="15" hidden="false" customHeight="false" outlineLevel="0" collapsed="false">
      <c r="A5" s="11" t="s">
        <v>27</v>
      </c>
      <c r="B5" s="8" t="n">
        <f aca="false">ROUND(AVERAGE(बिक्री!I5:I24),2)</f>
        <v>1298.65</v>
      </c>
    </row>
    <row r="6" customFormat="false" ht="15" hidden="false" customHeight="false" outlineLevel="0" collapsed="false">
      <c r="A6" s="11" t="s">
        <v>28</v>
      </c>
      <c r="B6" s="8" t="n">
        <f aca="false">MAX(बिक्री!I5:I24)</f>
        <v>3895</v>
      </c>
    </row>
    <row r="7" customFormat="false" ht="15" hidden="false" customHeight="false" outlineLevel="0" collapsed="false">
      <c r="A7" s="11" t="s">
        <v>29</v>
      </c>
      <c r="B7" s="8" t="n">
        <f aca="false">MIN(बिक्री!I5:I24)</f>
        <v>60</v>
      </c>
    </row>
    <row r="8" customFormat="false" ht="15" hidden="false" customHeight="false" outlineLevel="0" collapsed="false">
      <c r="A8" s="11" t="s">
        <v>30</v>
      </c>
      <c r="B8" s="7" t="n">
        <f aca="false">COUNT(बिक्री!I5:I24)</f>
        <v>20</v>
      </c>
    </row>
    <row r="9" customFormat="false" ht="16.4" hidden="false" customHeight="false" outlineLevel="0" collapsed="false">
      <c r="A9" s="12" t="s">
        <v>31</v>
      </c>
      <c r="B9" s="7" t="n">
        <f aca="false">COUNTIF(बिक्री!J5:J24,"UPI")</f>
        <v>9</v>
      </c>
    </row>
    <row r="10" customFormat="false" ht="16.4" hidden="false" customHeight="false" outlineLevel="0" collapsed="false">
      <c r="A10" s="12" t="s">
        <v>32</v>
      </c>
      <c r="B10" s="7" t="n">
        <f aca="false">COUNTIF(बिक्री!G5:G24,"&gt;=1000")</f>
        <v>8</v>
      </c>
    </row>
    <row r="11" customFormat="false" ht="15" hidden="false" customHeight="false" outlineLevel="0" collapsed="false">
      <c r="A11" s="11" t="s">
        <v>33</v>
      </c>
      <c r="B11" s="8" t="n">
        <f aca="false">SUMIF(बिक्री!J5:J24,"उधार",बिक्री!I5:I24)</f>
        <v>3287</v>
      </c>
    </row>
    <row r="13" customFormat="false" ht="31.5" hidden="false" customHeight="true" outlineLevel="0" collapsed="false">
      <c r="A13" s="3" t="s">
        <v>5</v>
      </c>
      <c r="B13" s="4" t="s">
        <v>34</v>
      </c>
      <c r="C13" s="3" t="s">
        <v>35</v>
      </c>
      <c r="D13" s="4" t="s">
        <v>36</v>
      </c>
    </row>
    <row r="14" customFormat="false" ht="15" hidden="false" customHeight="false" outlineLevel="0" collapsed="false">
      <c r="A14" s="6" t="s">
        <v>37</v>
      </c>
      <c r="B14" s="8" t="n">
        <f aca="false">SUMIF(बिक्री!$D$5:$D$24,A14,बिक्री!$I$5:$I$24)</f>
        <v>22174</v>
      </c>
      <c r="C14" s="7" t="n">
        <f aca="false">COUNTIF(बिक्री!$D$5:$D$24,A14)</f>
        <v>9</v>
      </c>
      <c r="D14" s="8" t="n">
        <f aca="false">SUMIFS(बिक्री!$I$5:$I$24,बिक्री!$D$5:$D$24,A14,बिक्री!$J$5:$J$24,"UPI")</f>
        <v>15777</v>
      </c>
    </row>
    <row r="15" customFormat="false" ht="15" hidden="false" customHeight="false" outlineLevel="0" collapsed="false">
      <c r="A15" s="6" t="s">
        <v>38</v>
      </c>
      <c r="B15" s="8" t="n">
        <f aca="false">SUMIF(बिक्री!$D$5:$D$24,A15,बिक्री!$I$5:$I$24)</f>
        <v>2279</v>
      </c>
      <c r="C15" s="7" t="n">
        <f aca="false">COUNTIF(बिक्री!$D$5:$D$24,A15)</f>
        <v>4</v>
      </c>
      <c r="D15" s="8" t="n">
        <f aca="false">SUMIFS(बिक्री!$I$5:$I$24,बिक्री!$D$5:$D$24,A15,बिक्री!$J$5:$J$24,"UPI")</f>
        <v>665</v>
      </c>
    </row>
    <row r="16" customFormat="false" ht="15" hidden="false" customHeight="false" outlineLevel="0" collapsed="false">
      <c r="A16" s="6" t="s">
        <v>39</v>
      </c>
      <c r="B16" s="8" t="n">
        <f aca="false">SUMIF(बिक्री!$D$5:$D$24,A16,बिक्री!$I$5:$I$24)</f>
        <v>1520</v>
      </c>
      <c r="C16" s="7" t="n">
        <f aca="false">COUNTIF(बिक्री!$D$5:$D$24,A16)</f>
        <v>7</v>
      </c>
      <c r="D16" s="8" t="n">
        <f aca="false">SUMIFS(बिक्री!$I$5:$I$24,बिक्री!$D$5:$D$24,A16,बिक्री!$J$5:$J$24,"UPI")</f>
        <v>235</v>
      </c>
    </row>
    <row r="17" customFormat="false" ht="15" hidden="false" customHeight="false" outlineLevel="0" collapsed="false">
      <c r="A17" s="9" t="s">
        <v>23</v>
      </c>
      <c r="B17" s="10" t="n">
        <f aca="false">SUM(B14:B16)</f>
        <v>25973</v>
      </c>
      <c r="C17" s="9" t="n">
        <f aca="false">SUM(C14:C16)</f>
        <v>20</v>
      </c>
      <c r="D17" s="10" t="n">
        <f aca="false">SUM(D14:D16)</f>
        <v>16677</v>
      </c>
    </row>
    <row r="19" customFormat="false" ht="16.4" hidden="false" customHeight="false" outlineLevel="0" collapsed="false">
      <c r="A19" s="11" t="s">
        <v>40</v>
      </c>
      <c r="B19" s="7" t="n">
        <f aca="false">COUNTIFS(बिक्री!D5:D24,"किराना",बिक्री!J5:J24,"UPI")</f>
        <v>6</v>
      </c>
    </row>
    <row r="20" customFormat="false" ht="16.4" hidden="false" customHeight="false" outlineLevel="0" collapsed="false">
      <c r="A20" s="12" t="s">
        <v>41</v>
      </c>
      <c r="B20" s="8" t="n">
        <f aca="false">INDEX(प्रोडक्ट_लिस्ट!D5:D12,MATCH("P03",प्रोडक्ट_लिस्ट!A5:A12,0))</f>
        <v>165</v>
      </c>
    </row>
    <row r="21" customFormat="false" ht="16.4" hidden="false" customHeight="false" outlineLevel="0" collapsed="false">
      <c r="A21" s="12" t="s">
        <v>42</v>
      </c>
      <c r="B21" s="7" t="str">
        <f aca="false">IFERROR(VLOOKUP("P99",प्रोडक्ट_लिस्ट!A5:D12,4,FALSE()),"कोड ग़लत")</f>
        <v>कोड ग़लत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</row>
    <row r="2" customFormat="false" ht="13.4" hidden="false" customHeight="false" outlineLevel="0" collapsed="false">
      <c r="A2" s="2" t="s">
        <v>44</v>
      </c>
      <c r="B2" s="2"/>
      <c r="C2" s="2"/>
      <c r="D2" s="2"/>
    </row>
    <row r="4" customFormat="false" ht="31.5" hidden="false" customHeight="true" outlineLevel="0" collapsed="false">
      <c r="A4" s="4" t="s">
        <v>3</v>
      </c>
      <c r="B4" s="3" t="s">
        <v>4</v>
      </c>
      <c r="C4" s="3" t="s">
        <v>5</v>
      </c>
      <c r="D4" s="3" t="s">
        <v>45</v>
      </c>
    </row>
    <row r="5" customFormat="false" ht="15" hidden="false" customHeight="false" outlineLevel="0" collapsed="false">
      <c r="A5" s="6" t="s">
        <v>14</v>
      </c>
      <c r="B5" s="6" t="s">
        <v>46</v>
      </c>
      <c r="C5" s="6" t="s">
        <v>37</v>
      </c>
      <c r="D5" s="13" t="n">
        <v>320</v>
      </c>
    </row>
    <row r="6" customFormat="false" ht="15" hidden="false" customHeight="false" outlineLevel="0" collapsed="false">
      <c r="A6" s="6" t="s">
        <v>20</v>
      </c>
      <c r="B6" s="6" t="s">
        <v>47</v>
      </c>
      <c r="C6" s="6" t="s">
        <v>37</v>
      </c>
      <c r="D6" s="13" t="n">
        <v>410</v>
      </c>
    </row>
    <row r="7" customFormat="false" ht="15" hidden="false" customHeight="false" outlineLevel="0" collapsed="false">
      <c r="A7" s="6" t="s">
        <v>21</v>
      </c>
      <c r="B7" s="6" t="s">
        <v>48</v>
      </c>
      <c r="C7" s="6" t="s">
        <v>37</v>
      </c>
      <c r="D7" s="13" t="n">
        <v>165</v>
      </c>
    </row>
    <row r="8" customFormat="false" ht="15" hidden="false" customHeight="false" outlineLevel="0" collapsed="false">
      <c r="A8" s="6" t="s">
        <v>16</v>
      </c>
      <c r="B8" s="6" t="s">
        <v>49</v>
      </c>
      <c r="C8" s="6" t="s">
        <v>38</v>
      </c>
      <c r="D8" s="13" t="n">
        <v>120</v>
      </c>
    </row>
    <row r="9" customFormat="false" ht="15" hidden="false" customHeight="false" outlineLevel="0" collapsed="false">
      <c r="A9" s="6" t="s">
        <v>19</v>
      </c>
      <c r="B9" s="6" t="s">
        <v>50</v>
      </c>
      <c r="C9" s="6" t="s">
        <v>38</v>
      </c>
      <c r="D9" s="13" t="n">
        <v>95</v>
      </c>
    </row>
    <row r="10" customFormat="false" ht="15" hidden="false" customHeight="false" outlineLevel="0" collapsed="false">
      <c r="A10" s="6" t="s">
        <v>12</v>
      </c>
      <c r="B10" s="6" t="s">
        <v>51</v>
      </c>
      <c r="C10" s="6" t="s">
        <v>39</v>
      </c>
      <c r="D10" s="13" t="n">
        <v>30</v>
      </c>
    </row>
    <row r="11" customFormat="false" ht="15" hidden="false" customHeight="false" outlineLevel="0" collapsed="false">
      <c r="A11" s="6" t="s">
        <v>17</v>
      </c>
      <c r="B11" s="6" t="s">
        <v>52</v>
      </c>
      <c r="C11" s="6" t="s">
        <v>39</v>
      </c>
      <c r="D11" s="13" t="n">
        <v>85</v>
      </c>
    </row>
    <row r="12" customFormat="false" ht="15" hidden="false" customHeight="false" outlineLevel="0" collapsed="false">
      <c r="A12" s="6" t="s">
        <v>22</v>
      </c>
      <c r="B12" s="6" t="s">
        <v>53</v>
      </c>
      <c r="C12" s="6" t="s">
        <v>37</v>
      </c>
      <c r="D12" s="13" t="n">
        <v>260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8"/>
  </cols>
  <sheetData>
    <row r="1" customFormat="false" ht="20.8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4" hidden="false" customHeight="false" outlineLevel="0" collapsed="false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1" t="s">
        <v>56</v>
      </c>
      <c r="B4" s="14" t="n">
        <v>46311</v>
      </c>
    </row>
    <row r="5" customFormat="false" ht="16.4" hidden="false" customHeight="false" outlineLevel="0" collapsed="false">
      <c r="A5" s="11" t="s">
        <v>57</v>
      </c>
      <c r="B5" s="15" t="n">
        <f aca="true">TODAY()</f>
        <v>46311</v>
      </c>
    </row>
    <row r="7" customFormat="false" ht="31.5" hidden="false" customHeight="tru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3" t="s">
        <v>69</v>
      </c>
    </row>
    <row r="8" customFormat="false" ht="15" hidden="false" customHeight="false" outlineLevel="0" collapsed="false">
      <c r="A8" s="6" t="s">
        <v>70</v>
      </c>
      <c r="B8" s="6" t="s">
        <v>71</v>
      </c>
      <c r="C8" s="6" t="n">
        <v>5</v>
      </c>
      <c r="D8" s="6" t="n">
        <v>3</v>
      </c>
      <c r="E8" s="6" t="n">
        <v>1998</v>
      </c>
      <c r="F8" s="7" t="str">
        <f aca="false">PROPER(TRIM(A8))</f>
        <v>Ramesh Kumar</v>
      </c>
      <c r="G8" s="7" t="str">
        <f aca="false">LEFT(B8,5)&amp;"-"&amp;RIGHT(B8,5)</f>
        <v>98765-43210</v>
      </c>
      <c r="H8" s="15" t="n">
        <f aca="false">DATE(E8,D8,C8)</f>
        <v>35859</v>
      </c>
      <c r="I8" s="7" t="n">
        <f aca="false">DATEDIF(H8,$B$4,"y")</f>
        <v>28</v>
      </c>
      <c r="J8" s="7" t="str">
        <f aca="false">TEXT(H8,"DD MMM YYYY")</f>
        <v>05 Mar 1998</v>
      </c>
      <c r="K8" s="7" t="str">
        <f aca="false">_xlfn.CONCAT("C-",UPPER(LEFT(TRIM(A8),2)),RIGHT(B8,4))</f>
        <v>C-RA3210</v>
      </c>
      <c r="L8" s="7" t="str">
        <f aca="false">IF(AND(I8&gt;=18,LEN(B8)=10),"हाँ","नहीं")</f>
        <v>हाँ</v>
      </c>
    </row>
    <row r="9" customFormat="false" ht="15" hidden="false" customHeight="false" outlineLevel="0" collapsed="false">
      <c r="A9" s="6" t="s">
        <v>72</v>
      </c>
      <c r="B9" s="6" t="s">
        <v>73</v>
      </c>
      <c r="C9" s="6" t="n">
        <v>21</v>
      </c>
      <c r="D9" s="6" t="n">
        <v>11</v>
      </c>
      <c r="E9" s="6" t="n">
        <v>2009</v>
      </c>
      <c r="F9" s="7" t="str">
        <f aca="false">PROPER(TRIM(A9))</f>
        <v>Seema Devi</v>
      </c>
      <c r="G9" s="7" t="str">
        <f aca="false">LEFT(B9,5)&amp;"-"&amp;RIGHT(B9,5)</f>
        <v>91234-56789</v>
      </c>
      <c r="H9" s="15" t="n">
        <f aca="false">DATE(E9,D9,C9)</f>
        <v>40138</v>
      </c>
      <c r="I9" s="7" t="n">
        <f aca="false">DATEDIF(H9,$B$4,"y")</f>
        <v>16</v>
      </c>
      <c r="J9" s="7" t="str">
        <f aca="false">TEXT(H9,"DD MMM YYYY")</f>
        <v>21 Nov 2009</v>
      </c>
      <c r="K9" s="7" t="str">
        <f aca="false">_xlfn.CONCAT("C-",UPPER(LEFT(TRIM(A9),2)),RIGHT(B9,4))</f>
        <v>C-SE6789</v>
      </c>
      <c r="L9" s="7" t="str">
        <f aca="false">IF(AND(I9&gt;=18,LEN(B9)=10),"हाँ","नहीं")</f>
        <v>नहीं</v>
      </c>
    </row>
    <row r="10" customFormat="false" ht="15" hidden="false" customHeight="false" outlineLevel="0" collapsed="false">
      <c r="A10" s="6" t="s">
        <v>74</v>
      </c>
      <c r="B10" s="6" t="s">
        <v>75</v>
      </c>
      <c r="C10" s="6" t="n">
        <v>14</v>
      </c>
      <c r="D10" s="6" t="n">
        <v>7</v>
      </c>
      <c r="E10" s="6" t="n">
        <v>1985</v>
      </c>
      <c r="F10" s="7" t="str">
        <f aca="false">PROPER(TRIM(A10))</f>
        <v>Anil Sharma</v>
      </c>
      <c r="G10" s="7" t="str">
        <f aca="false">LEFT(B10,5)&amp;"-"&amp;RIGHT(B10,5)</f>
        <v>98765-43210</v>
      </c>
      <c r="H10" s="15" t="n">
        <f aca="false">DATE(E10,D10,C10)</f>
        <v>31242</v>
      </c>
      <c r="I10" s="7" t="n">
        <f aca="false">DATEDIF(H10,$B$4,"y")</f>
        <v>41</v>
      </c>
      <c r="J10" s="7" t="str">
        <f aca="false">TEXT(H10,"DD MMM YYYY")</f>
        <v>14 Jul 1985</v>
      </c>
      <c r="K10" s="7" t="str">
        <f aca="false">_xlfn.CONCAT("C-",UPPER(LEFT(TRIM(A10),2)),RIGHT(B10,4))</f>
        <v>C-AN3210</v>
      </c>
      <c r="L10" s="7" t="str">
        <f aca="false">IF(AND(I10&gt;=18,LEN(B10)=10),"हाँ","नहीं")</f>
        <v>नहीं</v>
      </c>
    </row>
    <row r="11" customFormat="false" ht="15" hidden="false" customHeight="false" outlineLevel="0" collapsed="false">
      <c r="A11" s="6" t="s">
        <v>76</v>
      </c>
      <c r="B11" s="6" t="s">
        <v>77</v>
      </c>
      <c r="C11" s="6" t="n">
        <v>2</v>
      </c>
      <c r="D11" s="6" t="n">
        <v>1</v>
      </c>
      <c r="E11" s="6" t="n">
        <v>2004</v>
      </c>
      <c r="F11" s="7" t="str">
        <f aca="false">PROPER(TRIM(A11))</f>
        <v>Geeta Rani</v>
      </c>
      <c r="G11" s="7" t="str">
        <f aca="false">LEFT(B11,5)&amp;"-"&amp;RIGHT(B11,5)</f>
        <v>99887-76655</v>
      </c>
      <c r="H11" s="15" t="n">
        <f aca="false">DATE(E11,D11,C11)</f>
        <v>37988</v>
      </c>
      <c r="I11" s="7" t="n">
        <f aca="false">DATEDIF(H11,$B$4,"y")</f>
        <v>22</v>
      </c>
      <c r="J11" s="7" t="str">
        <f aca="false">TEXT(H11,"DD MMM YYYY")</f>
        <v>02 Jan 2004</v>
      </c>
      <c r="K11" s="7" t="str">
        <f aca="false">_xlfn.CONCAT("C-",UPPER(LEFT(TRIM(A11),2)),RIGHT(B11,4))</f>
        <v>C-GE6655</v>
      </c>
      <c r="L11" s="7" t="str">
        <f aca="false">IF(AND(I11&gt;=18,LEN(B11)=10),"हाँ","नहीं")</f>
        <v>हाँ</v>
      </c>
    </row>
    <row r="12" customFormat="false" ht="15" hidden="false" customHeight="false" outlineLevel="0" collapsed="false">
      <c r="A12" s="6" t="s">
        <v>78</v>
      </c>
      <c r="B12" s="6" t="s">
        <v>79</v>
      </c>
      <c r="C12" s="6" t="n">
        <v>30</v>
      </c>
      <c r="D12" s="6" t="n">
        <v>9</v>
      </c>
      <c r="E12" s="6" t="n">
        <v>1979</v>
      </c>
      <c r="F12" s="7" t="str">
        <f aca="false">PROPER(TRIM(A12))</f>
        <v>Mohd. Irfan</v>
      </c>
      <c r="G12" s="7" t="str">
        <f aca="false">LEFT(B12,5)&amp;"-"&amp;RIGHT(B12,5)</f>
        <v>90123-45678</v>
      </c>
      <c r="H12" s="15" t="n">
        <f aca="false">DATE(E12,D12,C12)</f>
        <v>29128</v>
      </c>
      <c r="I12" s="7" t="n">
        <f aca="false">DATEDIF(H12,$B$4,"y")</f>
        <v>47</v>
      </c>
      <c r="J12" s="7" t="str">
        <f aca="false">TEXT(H12,"DD MMM YYYY")</f>
        <v>30 Sep 1979</v>
      </c>
      <c r="K12" s="7" t="str">
        <f aca="false">_xlfn.CONCAT("C-",UPPER(LEFT(TRIM(A12),2)),RIGHT(B12,4))</f>
        <v>C-MO5678</v>
      </c>
      <c r="L12" s="7" t="str">
        <f aca="false">IF(AND(I12&gt;=18,LEN(B12)=10),"हाँ","नहीं")</f>
        <v>हाँ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2026-10-16T10:04:49Z</dcterms:created>
  <dc:creator>openpyxl</dc:creator>
  <dc:description/>
  <dc:language>en-US</dc:language>
  <cp:lastModifiedBy/>
  <dcterms:modified xsi:type="dcterms:W3CDTF">2026-10-16T10:04:49Z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