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ormula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1F6FEB"/>
      <sz val="16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4C2"/>
      </patternFill>
    </fill>
    <fill>
      <patternFill patternType="solid">
        <fgColor rgb="00D9F2E3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166" fontId="0" fillId="4" borderId="1" pivotButton="0" quotePrefix="0" xfId="0"/>
    <xf numFmtId="166" fontId="4" fillId="4" borderId="1" pivotButton="0" quotePrefix="0" xfId="0"/>
    <xf numFmtId="166" fontId="0" fillId="3" borderId="1" pivotButton="0" quotePrefix="0" xfId="0"/>
    <xf numFmtId="0" fontId="0" fillId="0" borderId="1" pivotButton="0" quotePrefix="0" xfId="0"/>
    <xf numFmtId="1" fontId="0" fillId="4" borderId="1" pivotButton="0" quotePrefix="0" xfId="0"/>
    <xf numFmtId="0" fontId="4" fillId="0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E0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'Summary'!$A$14:$A$16</f>
            </numRef>
          </cat>
          <val>
            <numRef>
              <f>'Summary'!$B$14:$B$16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1" customWidth="1" min="4" max="4"/>
    <col width="6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Shop Sales Register (October)</t>
        </is>
      </c>
    </row>
    <row r="2">
      <c r="A2" s="2" t="inlineStr">
        <is>
          <t>Yellow = you type   |   Green = formula (don't overwrite)</t>
        </is>
      </c>
    </row>
    <row r="4">
      <c r="A4" s="3" t="inlineStr">
        <is>
          <t>Date</t>
        </is>
      </c>
      <c r="B4" s="3" t="inlineStr">
        <is>
          <t>Code</t>
        </is>
      </c>
      <c r="C4" s="3" t="inlineStr">
        <is>
          <t>Product</t>
        </is>
      </c>
      <c r="D4" s="3" t="inlineStr">
        <is>
          <t>Category</t>
        </is>
      </c>
      <c r="E4" s="3" t="inlineStr">
        <is>
          <t>Qty</t>
        </is>
      </c>
      <c r="F4" s="3" t="inlineStr">
        <is>
          <t>Price</t>
        </is>
      </c>
      <c r="G4" s="3" t="inlineStr">
        <is>
          <t>Amount</t>
        </is>
      </c>
      <c r="H4" s="3" t="inlineStr">
        <is>
          <t>Discount</t>
        </is>
      </c>
      <c r="I4" s="3" t="inlineStr">
        <is>
          <t>Net</t>
        </is>
      </c>
      <c r="J4" s="3" t="inlineStr">
        <is>
          <t>Payment</t>
        </is>
      </c>
    </row>
    <row r="5">
      <c r="A5" s="4" t="n">
        <v>46296</v>
      </c>
      <c r="B5" s="5" t="inlineStr">
        <is>
          <t>P06</t>
        </is>
      </c>
      <c r="C5" s="6">
        <f>VLOOKUP(B5,Products!$A$5:$D$12,2,FALSE)</f>
        <v/>
      </c>
      <c r="D5" s="6">
        <f>_xlfn.XLOOKUP(B5,Products!$A$5:$A$12,Products!$C$5:$C$12,"Not found")</f>
        <v/>
      </c>
      <c r="E5" s="5" t="n">
        <v>3</v>
      </c>
      <c r="F5" s="7">
        <f>VLOOKUP(B5,Products!$A$5:$D$12,4,FALSE)</f>
        <v/>
      </c>
      <c r="G5" s="7">
        <f>E5*F5</f>
        <v/>
      </c>
      <c r="H5" s="7">
        <f>IF(G5&gt;=20,ROUND(G5*5%,2),0)</f>
        <v/>
      </c>
      <c r="I5" s="7">
        <f>G5-H5</f>
        <v/>
      </c>
      <c r="J5" s="5" t="inlineStr">
        <is>
          <t>Credit</t>
        </is>
      </c>
    </row>
    <row r="6">
      <c r="A6" s="4" t="n">
        <v>46297</v>
      </c>
      <c r="B6" s="5" t="inlineStr">
        <is>
          <t>P01</t>
        </is>
      </c>
      <c r="C6" s="6">
        <f>VLOOKUP(B6,Products!$A$5:$D$12,2,FALSE)</f>
        <v/>
      </c>
      <c r="D6" s="6">
        <f>_xlfn.XLOOKUP(B6,Products!$A$5:$A$12,Products!$C$5:$C$12,"Not found")</f>
        <v/>
      </c>
      <c r="E6" s="5" t="n">
        <v>2</v>
      </c>
      <c r="F6" s="7">
        <f>VLOOKUP(B6,Products!$A$5:$D$12,4,FALSE)</f>
        <v/>
      </c>
      <c r="G6" s="7">
        <f>E6*F6</f>
        <v/>
      </c>
      <c r="H6" s="7">
        <f>IF(G6&gt;=20,ROUND(G6*5%,2),0)</f>
        <v/>
      </c>
      <c r="I6" s="7">
        <f>G6-H6</f>
        <v/>
      </c>
      <c r="J6" s="5" t="inlineStr">
        <is>
          <t>Cash</t>
        </is>
      </c>
    </row>
    <row r="7">
      <c r="A7" s="4" t="n">
        <v>46298</v>
      </c>
      <c r="B7" s="5" t="inlineStr">
        <is>
          <t>P06</t>
        </is>
      </c>
      <c r="C7" s="6">
        <f>VLOOKUP(B7,Products!$A$5:$D$12,2,FALSE)</f>
        <v/>
      </c>
      <c r="D7" s="6">
        <f>_xlfn.XLOOKUP(B7,Products!$A$5:$A$12,Products!$C$5:$C$12,"Not found")</f>
        <v/>
      </c>
      <c r="E7" s="5" t="n">
        <v>10</v>
      </c>
      <c r="F7" s="7">
        <f>VLOOKUP(B7,Products!$A$5:$D$12,4,FALSE)</f>
        <v/>
      </c>
      <c r="G7" s="7">
        <f>E7*F7</f>
        <v/>
      </c>
      <c r="H7" s="7">
        <f>IF(G7&gt;=20,ROUND(G7*5%,2),0)</f>
        <v/>
      </c>
      <c r="I7" s="7">
        <f>G7-H7</f>
        <v/>
      </c>
      <c r="J7" s="5" t="inlineStr">
        <is>
          <t>Cash</t>
        </is>
      </c>
    </row>
    <row r="8">
      <c r="A8" s="4" t="n">
        <v>46299</v>
      </c>
      <c r="B8" s="5" t="inlineStr">
        <is>
          <t>P04</t>
        </is>
      </c>
      <c r="C8" s="6">
        <f>VLOOKUP(B8,Products!$A$5:$D$12,2,FALSE)</f>
        <v/>
      </c>
      <c r="D8" s="6">
        <f>_xlfn.XLOOKUP(B8,Products!$A$5:$A$12,Products!$C$5:$C$12,"Not found")</f>
        <v/>
      </c>
      <c r="E8" s="5" t="n">
        <v>1</v>
      </c>
      <c r="F8" s="7">
        <f>VLOOKUP(B8,Products!$A$5:$D$12,4,FALSE)</f>
        <v/>
      </c>
      <c r="G8" s="7">
        <f>E8*F8</f>
        <v/>
      </c>
      <c r="H8" s="7">
        <f>IF(G8&gt;=20,ROUND(G8*5%,2),0)</f>
        <v/>
      </c>
      <c r="I8" s="7">
        <f>G8-H8</f>
        <v/>
      </c>
      <c r="J8" s="5" t="inlineStr">
        <is>
          <t>Cash</t>
        </is>
      </c>
    </row>
    <row r="9">
      <c r="A9" s="4" t="n">
        <v>46300</v>
      </c>
      <c r="B9" s="5" t="inlineStr">
        <is>
          <t>P07</t>
        </is>
      </c>
      <c r="C9" s="6">
        <f>VLOOKUP(B9,Products!$A$5:$D$12,2,FALSE)</f>
        <v/>
      </c>
      <c r="D9" s="6">
        <f>_xlfn.XLOOKUP(B9,Products!$A$5:$A$12,Products!$C$5:$C$12,"Not found")</f>
        <v/>
      </c>
      <c r="E9" s="5" t="n">
        <v>7</v>
      </c>
      <c r="F9" s="7">
        <f>VLOOKUP(B9,Products!$A$5:$D$12,4,FALSE)</f>
        <v/>
      </c>
      <c r="G9" s="7">
        <f>E9*F9</f>
        <v/>
      </c>
      <c r="H9" s="7">
        <f>IF(G9&gt;=20,ROUND(G9*5%,2),0)</f>
        <v/>
      </c>
      <c r="I9" s="7">
        <f>G9-H9</f>
        <v/>
      </c>
      <c r="J9" s="5" t="inlineStr">
        <is>
          <t>Card</t>
        </is>
      </c>
    </row>
    <row r="10">
      <c r="A10" s="4" t="n">
        <v>46301</v>
      </c>
      <c r="B10" s="5" t="inlineStr">
        <is>
          <t>P04</t>
        </is>
      </c>
      <c r="C10" s="6">
        <f>VLOOKUP(B10,Products!$A$5:$D$12,2,FALSE)</f>
        <v/>
      </c>
      <c r="D10" s="6">
        <f>_xlfn.XLOOKUP(B10,Products!$A$5:$A$12,Products!$C$5:$C$12,"Not found")</f>
        <v/>
      </c>
      <c r="E10" s="5" t="n">
        <v>2</v>
      </c>
      <c r="F10" s="7">
        <f>VLOOKUP(B10,Products!$A$5:$D$12,4,FALSE)</f>
        <v/>
      </c>
      <c r="G10" s="7">
        <f>E10*F10</f>
        <v/>
      </c>
      <c r="H10" s="7">
        <f>IF(G10&gt;=20,ROUND(G10*5%,2),0)</f>
        <v/>
      </c>
      <c r="I10" s="7">
        <f>G10-H10</f>
        <v/>
      </c>
      <c r="J10" s="5" t="inlineStr">
        <is>
          <t>Credit</t>
        </is>
      </c>
    </row>
    <row r="11">
      <c r="A11" s="4" t="n">
        <v>46302</v>
      </c>
      <c r="B11" s="5" t="inlineStr">
        <is>
          <t>P01</t>
        </is>
      </c>
      <c r="C11" s="6">
        <f>VLOOKUP(B11,Products!$A$5:$D$12,2,FALSE)</f>
        <v/>
      </c>
      <c r="D11" s="6">
        <f>_xlfn.XLOOKUP(B11,Products!$A$5:$A$12,Products!$C$5:$C$12,"Not found")</f>
        <v/>
      </c>
      <c r="E11" s="5" t="n">
        <v>10</v>
      </c>
      <c r="F11" s="7">
        <f>VLOOKUP(B11,Products!$A$5:$D$12,4,FALSE)</f>
        <v/>
      </c>
      <c r="G11" s="7">
        <f>E11*F11</f>
        <v/>
      </c>
      <c r="H11" s="7">
        <f>IF(G11&gt;=20,ROUND(G11*5%,2),0)</f>
        <v/>
      </c>
      <c r="I11" s="7">
        <f>G11-H11</f>
        <v/>
      </c>
      <c r="J11" s="5" t="inlineStr">
        <is>
          <t>Cash</t>
        </is>
      </c>
    </row>
    <row r="12">
      <c r="A12" s="4" t="n">
        <v>46303</v>
      </c>
      <c r="B12" s="5" t="inlineStr">
        <is>
          <t>P04</t>
        </is>
      </c>
      <c r="C12" s="6">
        <f>VLOOKUP(B12,Products!$A$5:$D$12,2,FALSE)</f>
        <v/>
      </c>
      <c r="D12" s="6">
        <f>_xlfn.XLOOKUP(B12,Products!$A$5:$A$12,Products!$C$5:$C$12,"Not found")</f>
        <v/>
      </c>
      <c r="E12" s="5" t="n">
        <v>11</v>
      </c>
      <c r="F12" s="7">
        <f>VLOOKUP(B12,Products!$A$5:$D$12,4,FALSE)</f>
        <v/>
      </c>
      <c r="G12" s="7">
        <f>E12*F12</f>
        <v/>
      </c>
      <c r="H12" s="7">
        <f>IF(G12&gt;=20,ROUND(G12*5%,2),0)</f>
        <v/>
      </c>
      <c r="I12" s="7">
        <f>G12-H12</f>
        <v/>
      </c>
      <c r="J12" s="5" t="inlineStr">
        <is>
          <t>Cash</t>
        </is>
      </c>
    </row>
    <row r="13">
      <c r="A13" s="4" t="n">
        <v>46304</v>
      </c>
      <c r="B13" s="5" t="inlineStr">
        <is>
          <t>P02</t>
        </is>
      </c>
      <c r="C13" s="6">
        <f>VLOOKUP(B13,Products!$A$5:$D$12,2,FALSE)</f>
        <v/>
      </c>
      <c r="D13" s="6">
        <f>_xlfn.XLOOKUP(B13,Products!$A$5:$A$12,Products!$C$5:$C$12,"Not found")</f>
        <v/>
      </c>
      <c r="E13" s="5" t="n">
        <v>6</v>
      </c>
      <c r="F13" s="7">
        <f>VLOOKUP(B13,Products!$A$5:$D$12,4,FALSE)</f>
        <v/>
      </c>
      <c r="G13" s="7">
        <f>E13*F13</f>
        <v/>
      </c>
      <c r="H13" s="7">
        <f>IF(G13&gt;=20,ROUND(G13*5%,2),0)</f>
        <v/>
      </c>
      <c r="I13" s="7">
        <f>G13-H13</f>
        <v/>
      </c>
      <c r="J13" s="5" t="inlineStr">
        <is>
          <t>Card</t>
        </is>
      </c>
    </row>
    <row r="14">
      <c r="A14" s="4" t="n">
        <v>46305</v>
      </c>
      <c r="B14" s="5" t="inlineStr">
        <is>
          <t>P08</t>
        </is>
      </c>
      <c r="C14" s="6">
        <f>VLOOKUP(B14,Products!$A$5:$D$12,2,FALSE)</f>
        <v/>
      </c>
      <c r="D14" s="6">
        <f>_xlfn.XLOOKUP(B14,Products!$A$5:$A$12,Products!$C$5:$C$12,"Not found")</f>
        <v/>
      </c>
      <c r="E14" s="5" t="n">
        <v>4</v>
      </c>
      <c r="F14" s="7">
        <f>VLOOKUP(B14,Products!$A$5:$D$12,4,FALSE)</f>
        <v/>
      </c>
      <c r="G14" s="7">
        <f>E14*F14</f>
        <v/>
      </c>
      <c r="H14" s="7">
        <f>IF(G14&gt;=20,ROUND(G14*5%,2),0)</f>
        <v/>
      </c>
      <c r="I14" s="7">
        <f>G14-H14</f>
        <v/>
      </c>
      <c r="J14" s="5" t="inlineStr">
        <is>
          <t>Card</t>
        </is>
      </c>
    </row>
    <row r="15">
      <c r="A15" s="4" t="n">
        <v>46306</v>
      </c>
      <c r="B15" s="5" t="inlineStr">
        <is>
          <t>P03</t>
        </is>
      </c>
      <c r="C15" s="6">
        <f>VLOOKUP(B15,Products!$A$5:$D$12,2,FALSE)</f>
        <v/>
      </c>
      <c r="D15" s="6">
        <f>_xlfn.XLOOKUP(B15,Products!$A$5:$A$12,Products!$C$5:$C$12,"Not found")</f>
        <v/>
      </c>
      <c r="E15" s="5" t="n">
        <v>5</v>
      </c>
      <c r="F15" s="7">
        <f>VLOOKUP(B15,Products!$A$5:$D$12,4,FALSE)</f>
        <v/>
      </c>
      <c r="G15" s="7">
        <f>E15*F15</f>
        <v/>
      </c>
      <c r="H15" s="7">
        <f>IF(G15&gt;=20,ROUND(G15*5%,2),0)</f>
        <v/>
      </c>
      <c r="I15" s="7">
        <f>G15-H15</f>
        <v/>
      </c>
      <c r="J15" s="5" t="inlineStr">
        <is>
          <t>Cash</t>
        </is>
      </c>
    </row>
    <row r="16">
      <c r="A16" s="4" t="n">
        <v>46307</v>
      </c>
      <c r="B16" s="5" t="inlineStr">
        <is>
          <t>P07</t>
        </is>
      </c>
      <c r="C16" s="6">
        <f>VLOOKUP(B16,Products!$A$5:$D$12,2,FALSE)</f>
        <v/>
      </c>
      <c r="D16" s="6">
        <f>_xlfn.XLOOKUP(B16,Products!$A$5:$A$12,Products!$C$5:$C$12,"Not found")</f>
        <v/>
      </c>
      <c r="E16" s="5" t="n">
        <v>12</v>
      </c>
      <c r="F16" s="7">
        <f>VLOOKUP(B16,Products!$A$5:$D$12,4,FALSE)</f>
        <v/>
      </c>
      <c r="G16" s="7">
        <f>E16*F16</f>
        <v/>
      </c>
      <c r="H16" s="7">
        <f>IF(G16&gt;=20,ROUND(G16*5%,2),0)</f>
        <v/>
      </c>
      <c r="I16" s="7">
        <f>G16-H16</f>
        <v/>
      </c>
      <c r="J16" s="5" t="inlineStr">
        <is>
          <t>Card</t>
        </is>
      </c>
    </row>
    <row r="17">
      <c r="A17" s="4" t="n">
        <v>46308</v>
      </c>
      <c r="B17" s="5" t="inlineStr">
        <is>
          <t>P05</t>
        </is>
      </c>
      <c r="C17" s="6">
        <f>VLOOKUP(B17,Products!$A$5:$D$12,2,FALSE)</f>
        <v/>
      </c>
      <c r="D17" s="6">
        <f>_xlfn.XLOOKUP(B17,Products!$A$5:$A$12,Products!$C$5:$C$12,"Not found")</f>
        <v/>
      </c>
      <c r="E17" s="5" t="n">
        <v>3</v>
      </c>
      <c r="F17" s="7">
        <f>VLOOKUP(B17,Products!$A$5:$D$12,4,FALSE)</f>
        <v/>
      </c>
      <c r="G17" s="7">
        <f>E17*F17</f>
        <v/>
      </c>
      <c r="H17" s="7">
        <f>IF(G17&gt;=20,ROUND(G17*5%,2),0)</f>
        <v/>
      </c>
      <c r="I17" s="7">
        <f>G17-H17</f>
        <v/>
      </c>
      <c r="J17" s="5" t="inlineStr">
        <is>
          <t>Credit</t>
        </is>
      </c>
    </row>
    <row r="18">
      <c r="A18" s="4" t="n">
        <v>46309</v>
      </c>
      <c r="B18" s="5" t="inlineStr">
        <is>
          <t>P01</t>
        </is>
      </c>
      <c r="C18" s="6">
        <f>VLOOKUP(B18,Products!$A$5:$D$12,2,FALSE)</f>
        <v/>
      </c>
      <c r="D18" s="6">
        <f>_xlfn.XLOOKUP(B18,Products!$A$5:$A$12,Products!$C$5:$C$12,"Not found")</f>
        <v/>
      </c>
      <c r="E18" s="5" t="n">
        <v>4</v>
      </c>
      <c r="F18" s="7">
        <f>VLOOKUP(B18,Products!$A$5:$D$12,4,FALSE)</f>
        <v/>
      </c>
      <c r="G18" s="7">
        <f>E18*F18</f>
        <v/>
      </c>
      <c r="H18" s="7">
        <f>IF(G18&gt;=20,ROUND(G18*5%,2),0)</f>
        <v/>
      </c>
      <c r="I18" s="7">
        <f>G18-H18</f>
        <v/>
      </c>
      <c r="J18" s="5" t="inlineStr">
        <is>
          <t>Card</t>
        </is>
      </c>
    </row>
    <row r="19">
      <c r="A19" s="4" t="n">
        <v>46310</v>
      </c>
      <c r="B19" s="5" t="inlineStr">
        <is>
          <t>P06</t>
        </is>
      </c>
      <c r="C19" s="6">
        <f>VLOOKUP(B19,Products!$A$5:$D$12,2,FALSE)</f>
        <v/>
      </c>
      <c r="D19" s="6">
        <f>_xlfn.XLOOKUP(B19,Products!$A$5:$A$12,Products!$C$5:$C$12,"Not found")</f>
        <v/>
      </c>
      <c r="E19" s="5" t="n">
        <v>8</v>
      </c>
      <c r="F19" s="7">
        <f>VLOOKUP(B19,Products!$A$5:$D$12,4,FALSE)</f>
        <v/>
      </c>
      <c r="G19" s="7">
        <f>E19*F19</f>
        <v/>
      </c>
      <c r="H19" s="7">
        <f>IF(G19&gt;=20,ROUND(G19*5%,2),0)</f>
        <v/>
      </c>
      <c r="I19" s="7">
        <f>G19-H19</f>
        <v/>
      </c>
      <c r="J19" s="5" t="inlineStr">
        <is>
          <t>Cash</t>
        </is>
      </c>
    </row>
    <row r="20">
      <c r="A20" s="4" t="n">
        <v>46311</v>
      </c>
      <c r="B20" s="5" t="inlineStr">
        <is>
          <t>P08</t>
        </is>
      </c>
      <c r="C20" s="6">
        <f>VLOOKUP(B20,Products!$A$5:$D$12,2,FALSE)</f>
        <v/>
      </c>
      <c r="D20" s="6">
        <f>_xlfn.XLOOKUP(B20,Products!$A$5:$A$12,Products!$C$5:$C$12,"Not found")</f>
        <v/>
      </c>
      <c r="E20" s="5" t="n">
        <v>2</v>
      </c>
      <c r="F20" s="7">
        <f>VLOOKUP(B20,Products!$A$5:$D$12,4,FALSE)</f>
        <v/>
      </c>
      <c r="G20" s="7">
        <f>E20*F20</f>
        <v/>
      </c>
      <c r="H20" s="7">
        <f>IF(G20&gt;=20,ROUND(G20*5%,2),0)</f>
        <v/>
      </c>
      <c r="I20" s="7">
        <f>G20-H20</f>
        <v/>
      </c>
      <c r="J20" s="5" t="inlineStr">
        <is>
          <t>Card</t>
        </is>
      </c>
    </row>
    <row r="21">
      <c r="A21" s="4" t="n">
        <v>46312</v>
      </c>
      <c r="B21" s="5" t="inlineStr">
        <is>
          <t>P02</t>
        </is>
      </c>
      <c r="C21" s="6">
        <f>VLOOKUP(B21,Products!$A$5:$D$12,2,FALSE)</f>
        <v/>
      </c>
      <c r="D21" s="6">
        <f>_xlfn.XLOOKUP(B21,Products!$A$5:$A$12,Products!$C$5:$C$12,"Not found")</f>
        <v/>
      </c>
      <c r="E21" s="5" t="n">
        <v>3</v>
      </c>
      <c r="F21" s="7">
        <f>VLOOKUP(B21,Products!$A$5:$D$12,4,FALSE)</f>
        <v/>
      </c>
      <c r="G21" s="7">
        <f>E21*F21</f>
        <v/>
      </c>
      <c r="H21" s="7">
        <f>IF(G21&gt;=20,ROUND(G21*5%,2),0)</f>
        <v/>
      </c>
      <c r="I21" s="7">
        <f>G21-H21</f>
        <v/>
      </c>
      <c r="J21" s="5" t="inlineStr">
        <is>
          <t>Cash</t>
        </is>
      </c>
    </row>
    <row r="22">
      <c r="A22" s="4" t="n">
        <v>46313</v>
      </c>
      <c r="B22" s="5" t="inlineStr">
        <is>
          <t>P06</t>
        </is>
      </c>
      <c r="C22" s="6">
        <f>VLOOKUP(B22,Products!$A$5:$D$12,2,FALSE)</f>
        <v/>
      </c>
      <c r="D22" s="6">
        <f>_xlfn.XLOOKUP(B22,Products!$A$5:$A$12,Products!$C$5:$C$12,"Not found")</f>
        <v/>
      </c>
      <c r="E22" s="5" t="n">
        <v>5</v>
      </c>
      <c r="F22" s="7">
        <f>VLOOKUP(B22,Products!$A$5:$D$12,4,FALSE)</f>
        <v/>
      </c>
      <c r="G22" s="7">
        <f>E22*F22</f>
        <v/>
      </c>
      <c r="H22" s="7">
        <f>IF(G22&gt;=20,ROUND(G22*5%,2),0)</f>
        <v/>
      </c>
      <c r="I22" s="7">
        <f>G22-H22</f>
        <v/>
      </c>
      <c r="J22" s="5" t="inlineStr">
        <is>
          <t>Card</t>
        </is>
      </c>
    </row>
    <row r="23">
      <c r="A23" s="4" t="n">
        <v>46314</v>
      </c>
      <c r="B23" s="5" t="inlineStr">
        <is>
          <t>P03</t>
        </is>
      </c>
      <c r="C23" s="6">
        <f>VLOOKUP(B23,Products!$A$5:$D$12,2,FALSE)</f>
        <v/>
      </c>
      <c r="D23" s="6">
        <f>_xlfn.XLOOKUP(B23,Products!$A$5:$A$12,Products!$C$5:$C$12,"Not found")</f>
        <v/>
      </c>
      <c r="E23" s="5" t="n">
        <v>9</v>
      </c>
      <c r="F23" s="7">
        <f>VLOOKUP(B23,Products!$A$5:$D$12,4,FALSE)</f>
        <v/>
      </c>
      <c r="G23" s="7">
        <f>E23*F23</f>
        <v/>
      </c>
      <c r="H23" s="7">
        <f>IF(G23&gt;=20,ROUND(G23*5%,2),0)</f>
        <v/>
      </c>
      <c r="I23" s="7">
        <f>G23-H23</f>
        <v/>
      </c>
      <c r="J23" s="5" t="inlineStr">
        <is>
          <t>Card</t>
        </is>
      </c>
    </row>
    <row r="24">
      <c r="A24" s="4" t="n">
        <v>46315</v>
      </c>
      <c r="B24" s="5" t="inlineStr">
        <is>
          <t>P08</t>
        </is>
      </c>
      <c r="C24" s="6">
        <f>VLOOKUP(B24,Products!$A$5:$D$12,2,FALSE)</f>
        <v/>
      </c>
      <c r="D24" s="6">
        <f>_xlfn.XLOOKUP(B24,Products!$A$5:$A$12,Products!$C$5:$C$12,"Not found")</f>
        <v/>
      </c>
      <c r="E24" s="5" t="n">
        <v>7</v>
      </c>
      <c r="F24" s="7">
        <f>VLOOKUP(B24,Products!$A$5:$D$12,4,FALSE)</f>
        <v/>
      </c>
      <c r="G24" s="7">
        <f>E24*F24</f>
        <v/>
      </c>
      <c r="H24" s="7">
        <f>IF(G24&gt;=20,ROUND(G24*5%,2),0)</f>
        <v/>
      </c>
      <c r="I24" s="7">
        <f>G24-H24</f>
        <v/>
      </c>
      <c r="J24" s="5" t="inlineStr">
        <is>
          <t>Card</t>
        </is>
      </c>
    </row>
    <row r="25">
      <c r="G25" s="8">
        <f>SUM(G5:G24)</f>
        <v/>
      </c>
      <c r="H25" s="8">
        <f>SUM(H5:H24)</f>
        <v/>
      </c>
      <c r="I25" s="8">
        <f>SUM(I5:I24)</f>
        <v/>
      </c>
    </row>
  </sheetData>
  <conditionalFormatting sqref="I5:I24">
    <cfRule type="cellIs" priority="1" operator="greaterThanOrEqual" dxfId="0">
      <formula>40</formula>
    </cfRule>
  </conditionalFormatting>
  <dataValidations count="1">
    <dataValidation sqref="J5:J24" showDropDown="0" showInputMessage="0" showErrorMessage="0" allowBlank="0" type="list">
      <formula1>"Cash,Card,Credit"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</cols>
  <sheetData>
    <row r="1">
      <c r="A1" s="1" t="inlineStr">
        <is>
          <t>Product List</t>
        </is>
      </c>
    </row>
    <row r="2">
      <c r="A2" s="2" t="inlineStr">
        <is>
          <t>Change a price here - the Sales sheet updates automatically</t>
        </is>
      </c>
    </row>
    <row r="4">
      <c r="A4" s="3" t="inlineStr">
        <is>
          <t>Code</t>
        </is>
      </c>
      <c r="B4" s="3" t="inlineStr">
        <is>
          <t>Product</t>
        </is>
      </c>
      <c r="C4" s="3" t="inlineStr">
        <is>
          <t>Category</t>
        </is>
      </c>
      <c r="D4" s="3" t="inlineStr">
        <is>
          <t>Price</t>
        </is>
      </c>
    </row>
    <row r="5">
      <c r="A5" s="5" t="inlineStr">
        <is>
          <t>P01</t>
        </is>
      </c>
      <c r="B5" s="5" t="inlineStr">
        <is>
          <t>Rice 5kg</t>
        </is>
      </c>
      <c r="C5" s="5" t="inlineStr">
        <is>
          <t>Grocery</t>
        </is>
      </c>
      <c r="D5" s="9" t="n">
        <v>8</v>
      </c>
    </row>
    <row r="6">
      <c r="A6" s="5" t="inlineStr">
        <is>
          <t>P02</t>
        </is>
      </c>
      <c r="B6" s="5" t="inlineStr">
        <is>
          <t>Cooking Oil 1L</t>
        </is>
      </c>
      <c r="C6" s="5" t="inlineStr">
        <is>
          <t>Grocery</t>
        </is>
      </c>
      <c r="D6" s="9" t="n">
        <v>4.5</v>
      </c>
    </row>
    <row r="7">
      <c r="A7" s="5" t="inlineStr">
        <is>
          <t>P03</t>
        </is>
      </c>
      <c r="B7" s="5" t="inlineStr">
        <is>
          <t>Sugar 2kg</t>
        </is>
      </c>
      <c r="C7" s="5" t="inlineStr">
        <is>
          <t>Grocery</t>
        </is>
      </c>
      <c r="D7" s="9" t="n">
        <v>3.2</v>
      </c>
    </row>
    <row r="8">
      <c r="A8" s="5" t="inlineStr">
        <is>
          <t>P04</t>
        </is>
      </c>
      <c r="B8" s="5" t="inlineStr">
        <is>
          <t>Soap (4-pack)</t>
        </is>
      </c>
      <c r="C8" s="5" t="inlineStr">
        <is>
          <t>Household</t>
        </is>
      </c>
      <c r="D8" s="9" t="n">
        <v>3</v>
      </c>
    </row>
    <row r="9">
      <c r="A9" s="5" t="inlineStr">
        <is>
          <t>P05</t>
        </is>
      </c>
      <c r="B9" s="5" t="inlineStr">
        <is>
          <t>Detergent 1kg</t>
        </is>
      </c>
      <c r="C9" s="5" t="inlineStr">
        <is>
          <t>Household</t>
        </is>
      </c>
      <c r="D9" s="9" t="n">
        <v>5.5</v>
      </c>
    </row>
    <row r="10">
      <c r="A10" s="5" t="inlineStr">
        <is>
          <t>P06</t>
        </is>
      </c>
      <c r="B10" s="5" t="inlineStr">
        <is>
          <t>Biscuits</t>
        </is>
      </c>
      <c r="C10" s="5" t="inlineStr">
        <is>
          <t>Snacks</t>
        </is>
      </c>
      <c r="D10" s="9" t="n">
        <v>1</v>
      </c>
    </row>
    <row r="11">
      <c r="A11" s="5" t="inlineStr">
        <is>
          <t>P07</t>
        </is>
      </c>
      <c r="B11" s="5" t="inlineStr">
        <is>
          <t>Potato Chips</t>
        </is>
      </c>
      <c r="C11" s="5" t="inlineStr">
        <is>
          <t>Snacks</t>
        </is>
      </c>
      <c r="D11" s="9" t="n">
        <v>1.5</v>
      </c>
    </row>
    <row r="12">
      <c r="A12" s="5" t="inlineStr">
        <is>
          <t>P08</t>
        </is>
      </c>
      <c r="B12" s="5" t="inlineStr">
        <is>
          <t>Coffee 200g</t>
        </is>
      </c>
      <c r="C12" s="5" t="inlineStr">
        <is>
          <t>Grocery</t>
        </is>
      </c>
      <c r="D12" s="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  <col width="12" customWidth="1" min="4" max="4"/>
  </cols>
  <sheetData>
    <row r="1">
      <c r="A1" s="1" t="inlineStr">
        <is>
          <t>Summary</t>
        </is>
      </c>
    </row>
    <row r="2">
      <c r="A2" s="2" t="inlineStr">
        <is>
          <t>Every number here is a formula linked to the Sales sheet</t>
        </is>
      </c>
    </row>
    <row r="4">
      <c r="A4" s="10" t="inlineStr">
        <is>
          <t>Total net sales</t>
        </is>
      </c>
      <c r="B4" s="7">
        <f>SUM(Sales!I5:I24)</f>
        <v/>
      </c>
    </row>
    <row r="5">
      <c r="A5" s="10" t="inlineStr">
        <is>
          <t>Average bill</t>
        </is>
      </c>
      <c r="B5" s="7">
        <f>ROUND(AVERAGE(Sales!I5:I24),2)</f>
        <v/>
      </c>
    </row>
    <row r="6">
      <c r="A6" s="10" t="inlineStr">
        <is>
          <t>Largest bill</t>
        </is>
      </c>
      <c r="B6" s="7">
        <f>MAX(Sales!I5:I24)</f>
        <v/>
      </c>
    </row>
    <row r="7">
      <c r="A7" s="10" t="inlineStr">
        <is>
          <t>Smallest bill</t>
        </is>
      </c>
      <c r="B7" s="7">
        <f>MIN(Sales!I5:I24)</f>
        <v/>
      </c>
    </row>
    <row r="8">
      <c r="A8" s="10" t="inlineStr">
        <is>
          <t>Number of bills</t>
        </is>
      </c>
      <c r="B8" s="11">
        <f>COUNT(Sales!I5:I24)</f>
        <v/>
      </c>
    </row>
    <row r="9">
      <c r="A9" s="10" t="inlineStr">
        <is>
          <t>Card bills</t>
        </is>
      </c>
      <c r="B9" s="11">
        <f>COUNTIF(Sales!J5:J24,"Card")</f>
        <v/>
      </c>
    </row>
    <row r="10">
      <c r="A10" s="10" t="inlineStr">
        <is>
          <t>Credit (unpaid) bills</t>
        </is>
      </c>
      <c r="B10" s="11">
        <f>COUNTIF(Sales!J5:J24,"Credit")</f>
        <v/>
      </c>
    </row>
    <row r="13">
      <c r="A13" s="3" t="inlineStr">
        <is>
          <t>Category</t>
        </is>
      </c>
      <c r="B13" s="3" t="inlineStr">
        <is>
          <t>Net Sales</t>
        </is>
      </c>
      <c r="C13" s="3" t="inlineStr">
        <is>
          <t>Bills</t>
        </is>
      </c>
      <c r="D13" s="3" t="inlineStr">
        <is>
          <t>Card Sales</t>
        </is>
      </c>
    </row>
    <row r="14">
      <c r="A14" s="10" t="inlineStr">
        <is>
          <t>Grocery</t>
        </is>
      </c>
      <c r="B14" s="7">
        <f>SUMIF(Sales!$D$5:$D$24,A14,Sales!$I$5:$I$24)</f>
        <v/>
      </c>
      <c r="C14" s="6">
        <f>COUNTIF(Sales!$D$5:$D$24,A14)</f>
        <v/>
      </c>
      <c r="D14" s="7">
        <f>SUMIFS(Sales!$I$5:$I$24,Sales!$D$5:$D$24,A14,Sales!$J$5:$J$24,"Card")</f>
        <v/>
      </c>
    </row>
    <row r="15">
      <c r="A15" s="10" t="inlineStr">
        <is>
          <t>Household</t>
        </is>
      </c>
      <c r="B15" s="7">
        <f>SUMIF(Sales!$D$5:$D$24,A15,Sales!$I$5:$I$24)</f>
        <v/>
      </c>
      <c r="C15" s="6">
        <f>COUNTIF(Sales!$D$5:$D$24,A15)</f>
        <v/>
      </c>
      <c r="D15" s="7">
        <f>SUMIFS(Sales!$I$5:$I$24,Sales!$D$5:$D$24,A15,Sales!$J$5:$J$24,"Card")</f>
        <v/>
      </c>
    </row>
    <row r="16">
      <c r="A16" s="10" t="inlineStr">
        <is>
          <t>Snacks</t>
        </is>
      </c>
      <c r="B16" s="7">
        <f>SUMIF(Sales!$D$5:$D$24,A16,Sales!$I$5:$I$24)</f>
        <v/>
      </c>
      <c r="C16" s="6">
        <f>COUNTIF(Sales!$D$5:$D$24,A16)</f>
        <v/>
      </c>
      <c r="D16" s="7">
        <f>SUMIFS(Sales!$I$5:$I$24,Sales!$D$5:$D$24,A16,Sales!$J$5:$J$24,"Card")</f>
        <v/>
      </c>
    </row>
    <row r="17">
      <c r="A17" s="12" t="inlineStr">
        <is>
          <t>Total</t>
        </is>
      </c>
      <c r="B17" s="7">
        <f>SUM(B14:B16)</f>
        <v/>
      </c>
      <c r="C17" s="6">
        <f>SUM(C14:C16)</f>
        <v/>
      </c>
      <c r="D17" s="7">
        <f>SUM(D14:D16)</f>
        <v/>
      </c>
    </row>
    <row r="19">
      <c r="A19" s="10" t="inlineStr">
        <is>
          <t>Grocery + Card bills (COUNTIFS)</t>
        </is>
      </c>
      <c r="B19" s="6">
        <f>COUNTIFS(Sales!D5:D24,"Grocery",Sales!J5:J24,"Card")</f>
        <v/>
      </c>
    </row>
    <row r="20">
      <c r="A20" s="10" t="inlineStr">
        <is>
          <t>Price of P03 (INDEX+MATCH)</t>
        </is>
      </c>
      <c r="B20" s="7">
        <f>INDEX(Products!D5:D12,MATCH("P03",Products!A5:A12,0))</f>
        <v/>
      </c>
    </row>
    <row r="21">
      <c r="A21" s="10" t="inlineStr">
        <is>
          <t>Price of P99 (IFERROR)</t>
        </is>
      </c>
      <c r="B21" s="6">
        <f>IFERROR(VLOOKUP("P99",Products!A5:D12,4,FALSE),"Wrong code")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" customWidth="1" min="3" max="3"/>
    <col width="6" customWidth="1" min="4" max="4"/>
    <col width="6" customWidth="1" min="5" max="5"/>
    <col width="15" customWidth="1" min="6" max="6"/>
    <col width="15" customWidth="1" min="7" max="7"/>
    <col width="12" customWidth="1" min="8" max="8"/>
    <col width="8" customWidth="1" min="9" max="9"/>
    <col width="13" customWidth="1" min="10" max="10"/>
    <col width="11" customWidth="1" min="11" max="11"/>
    <col width="9" customWidth="1" min="12" max="12"/>
  </cols>
  <sheetData>
    <row r="1">
      <c r="A1" s="1" t="inlineStr">
        <is>
          <t>Formula Lab - text &amp; date formulas</t>
        </is>
      </c>
    </row>
    <row r="2">
      <c r="A2" s="2" t="inlineStr">
        <is>
          <t>Messy customer data in A-E, clean results in F-L</t>
        </is>
      </c>
    </row>
    <row r="4">
      <c r="A4" s="10" t="inlineStr">
        <is>
          <t>As-of date</t>
        </is>
      </c>
      <c r="B4" s="4" t="n">
        <v>46311</v>
      </c>
    </row>
    <row r="7">
      <c r="A7" s="3" t="inlineStr">
        <is>
          <t>Name (raw)</t>
        </is>
      </c>
      <c r="B7" s="3" t="inlineStr">
        <is>
          <t>Phone</t>
        </is>
      </c>
      <c r="C7" s="3" t="inlineStr">
        <is>
          <t>Day</t>
        </is>
      </c>
      <c r="D7" s="3" t="inlineStr">
        <is>
          <t>Month</t>
        </is>
      </c>
      <c r="E7" s="3" t="inlineStr">
        <is>
          <t>Year</t>
        </is>
      </c>
      <c r="F7" s="3" t="inlineStr">
        <is>
          <t>Clean Name</t>
        </is>
      </c>
      <c r="G7" s="3" t="inlineStr">
        <is>
          <t>Phone (formatted)</t>
        </is>
      </c>
      <c r="H7" s="3" t="inlineStr">
        <is>
          <t>Birth Date</t>
        </is>
      </c>
      <c r="I7" s="3" t="inlineStr">
        <is>
          <t>Age (yrs)</t>
        </is>
      </c>
      <c r="J7" s="3" t="inlineStr">
        <is>
          <t>Date as text</t>
        </is>
      </c>
      <c r="K7" s="3" t="inlineStr">
        <is>
          <t>Customer ID</t>
        </is>
      </c>
      <c r="L7" s="3" t="inlineStr">
        <is>
          <t>Eligible?</t>
        </is>
      </c>
    </row>
    <row r="8">
      <c r="A8" s="5" t="inlineStr">
        <is>
          <t xml:space="preserve">  maria santos </t>
        </is>
      </c>
      <c r="B8" s="5" t="inlineStr">
        <is>
          <t>5551234567</t>
        </is>
      </c>
      <c r="C8" s="5" t="n">
        <v>5</v>
      </c>
      <c r="D8" s="5" t="n">
        <v>3</v>
      </c>
      <c r="E8" s="5" t="n">
        <v>1998</v>
      </c>
      <c r="F8" s="6">
        <f>PROPER(TRIM(A8))</f>
        <v/>
      </c>
      <c r="G8" s="6">
        <f>LEFT(B8,3)&amp;"-"&amp;MID(B8,4,3)&amp;"-"&amp;RIGHT(B8,4)</f>
        <v/>
      </c>
      <c r="H8" s="13">
        <f>DATE(E8,D8,C8)</f>
        <v/>
      </c>
      <c r="I8" s="6">
        <f>DATEDIF(H8,$B$4,"y")</f>
        <v/>
      </c>
      <c r="J8" s="6">
        <f>TEXT(H8,"dd mmm yyyy")</f>
        <v/>
      </c>
      <c r="K8" s="6">
        <f>"C-"&amp;UPPER(LEFT(F8,2))&amp;RIGHT(B8,4)</f>
        <v/>
      </c>
      <c r="L8" s="6">
        <f>IF(AND(I8&gt;=18,LEN(B8)=10),"Yes","No")</f>
        <v/>
      </c>
    </row>
    <row r="9">
      <c r="A9" s="5" t="inlineStr">
        <is>
          <t>JOHN okafor</t>
        </is>
      </c>
      <c r="B9" s="5" t="inlineStr">
        <is>
          <t>5559876543</t>
        </is>
      </c>
      <c r="C9" s="5" t="n">
        <v>21</v>
      </c>
      <c r="D9" s="5" t="n">
        <v>11</v>
      </c>
      <c r="E9" s="5" t="n">
        <v>2009</v>
      </c>
      <c r="F9" s="6">
        <f>PROPER(TRIM(A9))</f>
        <v/>
      </c>
      <c r="G9" s="6">
        <f>LEFT(B9,3)&amp;"-"&amp;MID(B9,4,3)&amp;"-"&amp;RIGHT(B9,4)</f>
        <v/>
      </c>
      <c r="H9" s="13">
        <f>DATE(E9,D9,C9)</f>
        <v/>
      </c>
      <c r="I9" s="6">
        <f>DATEDIF(H9,$B$4,"y")</f>
        <v/>
      </c>
      <c r="J9" s="6">
        <f>TEXT(H9,"dd mmm yyyy")</f>
        <v/>
      </c>
      <c r="K9" s="6">
        <f>"C-"&amp;UPPER(LEFT(F9,2))&amp;RIGHT(B9,4)</f>
        <v/>
      </c>
      <c r="L9" s="6">
        <f>IF(AND(I9&gt;=18,LEN(B9)=10),"Yes","No")</f>
        <v/>
      </c>
    </row>
    <row r="10">
      <c r="A10" s="5" t="inlineStr">
        <is>
          <t>aisha khan</t>
        </is>
      </c>
      <c r="B10" s="5" t="inlineStr">
        <is>
          <t>555 246 8101</t>
        </is>
      </c>
      <c r="C10" s="5" t="n">
        <v>14</v>
      </c>
      <c r="D10" s="5" t="n">
        <v>7</v>
      </c>
      <c r="E10" s="5" t="n">
        <v>1985</v>
      </c>
      <c r="F10" s="6">
        <f>PROPER(TRIM(A10))</f>
        <v/>
      </c>
      <c r="G10" s="6">
        <f>LEFT(B10,3)&amp;"-"&amp;MID(B10,4,3)&amp;"-"&amp;RIGHT(B10,4)</f>
        <v/>
      </c>
      <c r="H10" s="13">
        <f>DATE(E10,D10,C10)</f>
        <v/>
      </c>
      <c r="I10" s="6">
        <f>DATEDIF(H10,$B$4,"y")</f>
        <v/>
      </c>
      <c r="J10" s="6">
        <f>TEXT(H10,"dd mmm yyyy")</f>
        <v/>
      </c>
      <c r="K10" s="6">
        <f>"C-"&amp;UPPER(LEFT(F10,2))&amp;RIGHT(B10,4)</f>
        <v/>
      </c>
      <c r="L10" s="6">
        <f>IF(AND(I10&gt;=18,LEN(B10)=10),"Yes","No")</f>
        <v/>
      </c>
    </row>
    <row r="11">
      <c r="A11" s="5" t="inlineStr">
        <is>
          <t>david LEE</t>
        </is>
      </c>
      <c r="B11" s="5" t="inlineStr">
        <is>
          <t>5551357913</t>
        </is>
      </c>
      <c r="C11" s="5" t="n">
        <v>2</v>
      </c>
      <c r="D11" s="5" t="n">
        <v>1</v>
      </c>
      <c r="E11" s="5" t="n">
        <v>2004</v>
      </c>
      <c r="F11" s="6">
        <f>PROPER(TRIM(A11))</f>
        <v/>
      </c>
      <c r="G11" s="6">
        <f>LEFT(B11,3)&amp;"-"&amp;MID(B11,4,3)&amp;"-"&amp;RIGHT(B11,4)</f>
        <v/>
      </c>
      <c r="H11" s="13">
        <f>DATE(E11,D11,C11)</f>
        <v/>
      </c>
      <c r="I11" s="6">
        <f>DATEDIF(H11,$B$4,"y")</f>
        <v/>
      </c>
      <c r="J11" s="6">
        <f>TEXT(H11,"dd mmm yyyy")</f>
        <v/>
      </c>
      <c r="K11" s="6">
        <f>"C-"&amp;UPPER(LEFT(F11,2))&amp;RIGHT(B11,4)</f>
        <v/>
      </c>
      <c r="L11" s="6">
        <f>IF(AND(I11&gt;=18,LEN(B11)=10),"Yes","No")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2026-10-30T07:24:57Z</dcterms:created>
  <dcterms:modified xmlns:dcterms="http://purl.org/dc/terms/" xmlns:xsi="http://www.w3.org/2001/XMLSchema-instance" xsi:type="dcterms:W3CDTF">2026-10-30T07:24:57Z</dcterms:modified>
</cp:coreProperties>
</file>