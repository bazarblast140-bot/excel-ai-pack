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1F6FEB"/>
      <sz val="16"/>
    </font>
    <font>
      <i val="1"/>
      <color rgb="00555555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1F6FEB"/>
      </patternFill>
    </fill>
    <fill>
      <patternFill patternType="solid">
        <fgColor rgb="00D9F2E3"/>
      </patternFill>
    </fill>
  </fills>
  <borders count="2">
    <border>
      <left/>
      <right/>
      <top/>
      <bottom/>
      <diagonal/>
    </border>
    <border>
      <left style="thin">
        <color rgb="00C8CED6"/>
      </left>
      <right style="thin">
        <color rgb="00C8CED6"/>
      </right>
      <top style="thin">
        <color rgb="00C8CED6"/>
      </top>
      <bottom style="thin">
        <color rgb="00C8CE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164" fontId="0" fillId="2" borderId="1" pivotButton="0" quotePrefix="0" xfId="0"/>
    <xf numFmtId="164" fontId="0" fillId="4" borderId="1" pivotButton="0" quotePrefix="0" xfId="0"/>
    <xf numFmtId="0" fontId="3" fillId="3" borderId="1" applyAlignment="1" pivotButton="0" quotePrefix="0" xfId="0">
      <alignment horizontal="center" wrapText="1"/>
    </xf>
    <xf numFmtId="0" fontId="0" fillId="2" borderId="1" pivotButton="0" quotePrefix="0" xfId="0"/>
    <xf numFmtId="0" fontId="0" fillId="4" borderId="1" pivotButton="0" quotePrefix="0" xfId="0"/>
    <xf numFmtId="165" fontId="0" fillId="4" borderId="1" pivotButton="0" quotePrefix="0" xfId="0"/>
    <xf numFmtId="0" fontId="4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8C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'Budget'!$A$9:$A$18</f>
            </numRef>
          </cat>
          <val>
            <numRef>
              <f>'Budget'!$B$9:$B$18</f>
            </numRef>
          </val>
        </ser>
        <ser>
          <idx val="1"/>
          <order val="1"/>
          <tx>
            <strRef>
              <f>'Budget'!C8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'Budget'!$A$9:$A$18</f>
            </numRef>
          </cat>
          <val>
            <numRef>
              <f>'Budget'!$C$9:$C$18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72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3" customWidth="1" min="5" max="5"/>
    <col width="11" customWidth="1" min="6" max="6"/>
  </cols>
  <sheetData>
    <row r="1">
      <c r="A1" s="1" t="inlineStr">
        <is>
          <t>Monthly Home Budget</t>
        </is>
      </c>
    </row>
    <row r="2">
      <c r="A2" s="2" t="inlineStr">
        <is>
          <t>Type your income and spending in the yellow cells</t>
        </is>
      </c>
    </row>
    <row r="4">
      <c r="A4" s="3" t="inlineStr">
        <is>
          <t>Total monthly income</t>
        </is>
      </c>
      <c r="B4" s="4" t="n">
        <v>2500</v>
      </c>
    </row>
    <row r="5">
      <c r="A5" s="3" t="inlineStr">
        <is>
          <t>Total spent</t>
        </is>
      </c>
      <c r="B5" s="5">
        <f>C19</f>
        <v/>
      </c>
    </row>
    <row r="6">
      <c r="A6" s="3" t="inlineStr">
        <is>
          <t>Savings left</t>
        </is>
      </c>
      <c r="B6" s="5">
        <f>B4-C19</f>
        <v/>
      </c>
    </row>
    <row r="8">
      <c r="A8" s="6" t="inlineStr">
        <is>
          <t>Expense</t>
        </is>
      </c>
      <c r="B8" s="6" t="inlineStr">
        <is>
          <t>Budget ($)</t>
        </is>
      </c>
      <c r="C8" s="6" t="inlineStr">
        <is>
          <t>Actual ($)</t>
        </is>
      </c>
      <c r="D8" s="6" t="inlineStr">
        <is>
          <t>Difference ($)</t>
        </is>
      </c>
      <c r="E8" s="6" t="inlineStr">
        <is>
          <t>Status</t>
        </is>
      </c>
      <c r="F8" s="6" t="inlineStr">
        <is>
          <t>% of Income</t>
        </is>
      </c>
    </row>
    <row r="9">
      <c r="A9" s="7" t="inlineStr">
        <is>
          <t>Rent</t>
        </is>
      </c>
      <c r="B9" s="4" t="n">
        <v>700</v>
      </c>
      <c r="C9" s="4" t="n">
        <v>700</v>
      </c>
      <c r="D9" s="5">
        <f>B9-C9</f>
        <v/>
      </c>
      <c r="E9" s="8">
        <f>IF(C9&gt;B9,"Over budget","OK")</f>
        <v/>
      </c>
      <c r="F9" s="9">
        <f>C9/$B$4</f>
        <v/>
      </c>
    </row>
    <row r="10">
      <c r="A10" s="7" t="inlineStr">
        <is>
          <t>Groceries</t>
        </is>
      </c>
      <c r="B10" s="4" t="n">
        <v>350</v>
      </c>
      <c r="C10" s="4" t="n">
        <v>382</v>
      </c>
      <c r="D10" s="5">
        <f>B10-C10</f>
        <v/>
      </c>
      <c r="E10" s="8">
        <f>IF(C10&gt;B10,"Over budget","OK")</f>
        <v/>
      </c>
      <c r="F10" s="9">
        <f>C10/$B$4</f>
        <v/>
      </c>
    </row>
    <row r="11">
      <c r="A11" s="7" t="inlineStr">
        <is>
          <t>Electricity/Water</t>
        </is>
      </c>
      <c r="B11" s="4" t="n">
        <v>100</v>
      </c>
      <c r="C11" s="4" t="n">
        <v>92</v>
      </c>
      <c r="D11" s="5">
        <f>B11-C11</f>
        <v/>
      </c>
      <c r="E11" s="8">
        <f>IF(C11&gt;B11,"Over budget","OK")</f>
        <v/>
      </c>
      <c r="F11" s="9">
        <f>C11/$B$4</f>
        <v/>
      </c>
    </row>
    <row r="12">
      <c r="A12" s="7" t="inlineStr">
        <is>
          <t>Phone/Internet</t>
        </is>
      </c>
      <c r="B12" s="4" t="n">
        <v>40</v>
      </c>
      <c r="C12" s="4" t="n">
        <v>40</v>
      </c>
      <c r="D12" s="5">
        <f>B12-C12</f>
        <v/>
      </c>
      <c r="E12" s="8">
        <f>IF(C12&gt;B12,"Over budget","OK")</f>
        <v/>
      </c>
      <c r="F12" s="9">
        <f>C12/$B$4</f>
        <v/>
      </c>
    </row>
    <row r="13">
      <c r="A13" s="7" t="inlineStr">
        <is>
          <t>Kids' School</t>
        </is>
      </c>
      <c r="B13" s="4" t="n">
        <v>250</v>
      </c>
      <c r="C13" s="4" t="n">
        <v>250</v>
      </c>
      <c r="D13" s="5">
        <f>B13-C13</f>
        <v/>
      </c>
      <c r="E13" s="8">
        <f>IF(C13&gt;B13,"Over budget","OK")</f>
        <v/>
      </c>
      <c r="F13" s="9">
        <f>C13/$B$4</f>
        <v/>
      </c>
    </row>
    <row r="14">
      <c r="A14" s="7" t="inlineStr">
        <is>
          <t>Medicine</t>
        </is>
      </c>
      <c r="B14" s="4" t="n">
        <v>75</v>
      </c>
      <c r="C14" s="4" t="n">
        <v>30</v>
      </c>
      <c r="D14" s="5">
        <f>B14-C14</f>
        <v/>
      </c>
      <c r="E14" s="8">
        <f>IF(C14&gt;B14,"Over budget","OK")</f>
        <v/>
      </c>
      <c r="F14" s="9">
        <f>C14/$B$4</f>
        <v/>
      </c>
    </row>
    <row r="15">
      <c r="A15" s="7" t="inlineStr">
        <is>
          <t>Fuel/Transport</t>
        </is>
      </c>
      <c r="B15" s="4" t="n">
        <v>125</v>
      </c>
      <c r="C15" s="4" t="n">
        <v>155</v>
      </c>
      <c r="D15" s="5">
        <f>B15-C15</f>
        <v/>
      </c>
      <c r="E15" s="8">
        <f>IF(C15&gt;B15,"Over budget","OK")</f>
        <v/>
      </c>
      <c r="F15" s="9">
        <f>C15/$B$4</f>
        <v/>
      </c>
    </row>
    <row r="16">
      <c r="A16" s="7" t="inlineStr">
        <is>
          <t>Eating Out</t>
        </is>
      </c>
      <c r="B16" s="4" t="n">
        <v>75</v>
      </c>
      <c r="C16" s="4" t="n">
        <v>118</v>
      </c>
      <c r="D16" s="5">
        <f>B16-C16</f>
        <v/>
      </c>
      <c r="E16" s="8">
        <f>IF(C16&gt;B16,"Over budget","OK")</f>
        <v/>
      </c>
      <c r="F16" s="9">
        <f>C16/$B$4</f>
        <v/>
      </c>
    </row>
    <row r="17">
      <c r="A17" s="7" t="inlineStr">
        <is>
          <t>Clothes</t>
        </is>
      </c>
      <c r="B17" s="4" t="n">
        <v>75</v>
      </c>
      <c r="C17" s="4" t="n">
        <v>45</v>
      </c>
      <c r="D17" s="5">
        <f>B17-C17</f>
        <v/>
      </c>
      <c r="E17" s="8">
        <f>IF(C17&gt;B17,"Over budget","OK")</f>
        <v/>
      </c>
      <c r="F17" s="9">
        <f>C17/$B$4</f>
        <v/>
      </c>
    </row>
    <row r="18">
      <c r="A18" s="7" t="inlineStr">
        <is>
          <t>Loan Payment</t>
        </is>
      </c>
      <c r="B18" s="4" t="n">
        <v>200</v>
      </c>
      <c r="C18" s="4" t="n">
        <v>200</v>
      </c>
      <c r="D18" s="5">
        <f>B18-C18</f>
        <v/>
      </c>
      <c r="E18" s="8">
        <f>IF(C18&gt;B18,"Over budget","OK")</f>
        <v/>
      </c>
      <c r="F18" s="9">
        <f>C18/$B$4</f>
        <v/>
      </c>
    </row>
    <row r="19">
      <c r="A19" s="10" t="inlineStr">
        <is>
          <t>Total</t>
        </is>
      </c>
      <c r="B19" s="5">
        <f>SUM(B9:B18)</f>
        <v/>
      </c>
      <c r="C19" s="5">
        <f>SUM(C9:C18)</f>
        <v/>
      </c>
      <c r="D19" s="5">
        <f>SUM(D9:D18)</f>
        <v/>
      </c>
    </row>
  </sheetData>
  <conditionalFormatting sqref="E9:E18">
    <cfRule type="cellIs" priority="1" operator="equal" dxfId="0">
      <formula>"Over budget"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2026-10-30T07:24:57Z</dcterms:created>
  <dcterms:modified xmlns:dcterms="http://purl.org/dc/terms/" xmlns:xsi="http://www.w3.org/2001/XMLSchema-instance" xsi:type="dcterms:W3CDTF">2026-10-30T07:24:57Z</dcterms:modified>
</cp:coreProperties>
</file>