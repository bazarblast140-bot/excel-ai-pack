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Custom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1F6FEB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6FEB"/>
      </patternFill>
    </fill>
    <fill>
      <patternFill patternType="solid">
        <fgColor rgb="00D9F2E3"/>
      </patternFill>
    </fill>
  </fills>
  <borders count="2">
    <border>
      <left/>
      <right/>
      <top/>
      <bottom/>
      <diagonal/>
    </border>
    <border>
      <left style="thin">
        <color rgb="00C8CED6"/>
      </left>
      <right style="thin">
        <color rgb="00C8CED6"/>
      </right>
      <top style="thin">
        <color rgb="00C8CED6"/>
      </top>
      <bottom style="thin">
        <color rgb="00C8CE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5" fontId="0" fillId="2" borderId="1" pivotButton="0" quotePrefix="0" xfId="0"/>
    <xf numFmtId="0" fontId="3" fillId="3" borderId="1" applyAlignment="1" pivotButton="0" quotePrefix="0" xfId="0">
      <alignment horizontal="center" wrapText="1"/>
    </xf>
    <xf numFmtId="0" fontId="0" fillId="2" borderId="1" pivotButton="0" quotePrefix="0" xfId="0"/>
    <xf numFmtId="166" fontId="0" fillId="2" borderId="1" pivotButton="0" quotePrefix="0" xfId="0"/>
    <xf numFmtId="166" fontId="0" fillId="4" borderId="1" pivotButton="0" quotePrefix="0" xfId="0"/>
    <xf numFmtId="1" fontId="0" fillId="4" borderId="1" pivotButton="0" quotePrefix="0" xfId="0"/>
    <xf numFmtId="0" fontId="0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8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7" customWidth="1" min="6" max="6"/>
    <col width="20" customWidth="1" min="7" max="7"/>
  </cols>
  <sheetData>
    <row r="1">
      <c r="A1" s="1" t="inlineStr">
        <is>
          <t>Customer Credit Ledger (Tab / IOU book)</t>
        </is>
      </c>
    </row>
    <row r="2">
      <c r="A2" s="2" t="inlineStr">
        <is>
          <t>Running balance per customer; dues older than 30 days turn red</t>
        </is>
      </c>
    </row>
    <row r="4">
      <c r="A4" s="3" t="inlineStr">
        <is>
          <t>Today's date</t>
        </is>
      </c>
      <c r="B4" s="4" t="n">
        <v>46315</v>
      </c>
    </row>
    <row r="6">
      <c r="A6" s="5" t="inlineStr">
        <is>
          <t>Customer</t>
        </is>
      </c>
      <c r="B6" s="5" t="inlineStr">
        <is>
          <t>Date</t>
        </is>
      </c>
      <c r="C6" s="5" t="inlineStr">
        <is>
          <t>Credit Given</t>
        </is>
      </c>
      <c r="D6" s="5" t="inlineStr">
        <is>
          <t>Payment Received</t>
        </is>
      </c>
      <c r="E6" s="5" t="inlineStr">
        <is>
          <t>Customer Balance</t>
        </is>
      </c>
      <c r="F6" s="5" t="inlineStr">
        <is>
          <t>Days</t>
        </is>
      </c>
      <c r="G6" s="5" t="inlineStr">
        <is>
          <t>Status</t>
        </is>
      </c>
    </row>
    <row r="7">
      <c r="A7" s="6" t="inlineStr">
        <is>
          <t>Maria</t>
        </is>
      </c>
      <c r="B7" s="4" t="n">
        <v>46267</v>
      </c>
      <c r="C7" s="7" t="n">
        <v>60</v>
      </c>
      <c r="D7" s="7" t="n">
        <v>0</v>
      </c>
      <c r="E7" s="8">
        <f>SUMIF($A$7:A7,A7,$C$7:C7)-SUMIF($A$7:A7,A7,$D$7:D7)</f>
        <v/>
      </c>
      <c r="F7" s="9">
        <f>$B$4-B7</f>
        <v/>
      </c>
      <c r="G7" s="10">
        <f>IF(D7&gt;0,"Paid",IF(F7&gt;30,"Old - send reminder","OK"))</f>
        <v/>
      </c>
    </row>
    <row r="8">
      <c r="A8" s="6" t="inlineStr">
        <is>
          <t>John</t>
        </is>
      </c>
      <c r="B8" s="4" t="n">
        <v>46270</v>
      </c>
      <c r="C8" s="7" t="n">
        <v>42.5</v>
      </c>
      <c r="D8" s="7" t="n">
        <v>0</v>
      </c>
      <c r="E8" s="8">
        <f>SUMIF($A$7:A8,A8,$C$7:C8)-SUMIF($A$7:A8,A8,$D$7:D8)</f>
        <v/>
      </c>
      <c r="F8" s="9">
        <f>$B$4-B8</f>
        <v/>
      </c>
      <c r="G8" s="10">
        <f>IF(D8&gt;0,"Paid",IF(F8&gt;30,"Old - send reminder","OK"))</f>
        <v/>
      </c>
    </row>
    <row r="9">
      <c r="A9" s="6" t="inlineStr">
        <is>
          <t>Maria</t>
        </is>
      </c>
      <c r="B9" s="4" t="n">
        <v>46277</v>
      </c>
      <c r="C9" s="7" t="n">
        <v>0</v>
      </c>
      <c r="D9" s="7" t="n">
        <v>25</v>
      </c>
      <c r="E9" s="8">
        <f>SUMIF($A$7:A9,A9,$C$7:C9)-SUMIF($A$7:A9,A9,$D$7:D9)</f>
        <v/>
      </c>
      <c r="F9" s="9">
        <f>$B$4-B9</f>
        <v/>
      </c>
      <c r="G9" s="10">
        <f>IF(D9&gt;0,"Paid",IF(F9&gt;30,"Old - send reminder","OK"))</f>
        <v/>
      </c>
    </row>
    <row r="10">
      <c r="A10" s="6" t="inlineStr">
        <is>
          <t>Aisha</t>
        </is>
      </c>
      <c r="B10" s="4" t="n">
        <v>46280</v>
      </c>
      <c r="C10" s="7" t="n">
        <v>115</v>
      </c>
      <c r="D10" s="7" t="n">
        <v>0</v>
      </c>
      <c r="E10" s="8">
        <f>SUMIF($A$7:A10,A10,$C$7:C10)-SUMIF($A$7:A10,A10,$D$7:D10)</f>
        <v/>
      </c>
      <c r="F10" s="9">
        <f>$B$4-B10</f>
        <v/>
      </c>
      <c r="G10" s="10">
        <f>IF(D10&gt;0,"Paid",IF(F10&gt;30,"Old - send reminder","OK"))</f>
        <v/>
      </c>
    </row>
    <row r="11">
      <c r="A11" s="6" t="inlineStr">
        <is>
          <t>John</t>
        </is>
      </c>
      <c r="B11" s="4" t="n">
        <v>46285</v>
      </c>
      <c r="C11" s="7" t="n">
        <v>0</v>
      </c>
      <c r="D11" s="7" t="n">
        <v>42.5</v>
      </c>
      <c r="E11" s="8">
        <f>SUMIF($A$7:A11,A11,$C$7:C11)-SUMIF($A$7:A11,A11,$D$7:D11)</f>
        <v/>
      </c>
      <c r="F11" s="9">
        <f>$B$4-B11</f>
        <v/>
      </c>
      <c r="G11" s="10">
        <f>IF(D11&gt;0,"Paid",IF(F11&gt;30,"Old - send reminder","OK"))</f>
        <v/>
      </c>
    </row>
    <row r="12">
      <c r="A12" s="6" t="inlineStr">
        <is>
          <t>Maria</t>
        </is>
      </c>
      <c r="B12" s="4" t="n">
        <v>46293</v>
      </c>
      <c r="C12" s="7" t="n">
        <v>32</v>
      </c>
      <c r="D12" s="7" t="n">
        <v>0</v>
      </c>
      <c r="E12" s="8">
        <f>SUMIF($A$7:A12,A12,$C$7:C12)-SUMIF($A$7:A12,A12,$D$7:D12)</f>
        <v/>
      </c>
      <c r="F12" s="9">
        <f>$B$4-B12</f>
        <v/>
      </c>
      <c r="G12" s="10">
        <f>IF(D12&gt;0,"Paid",IF(F12&gt;30,"Old - send reminder","OK"))</f>
        <v/>
      </c>
    </row>
    <row r="13">
      <c r="A13" s="6" t="inlineStr">
        <is>
          <t>David</t>
        </is>
      </c>
      <c r="B13" s="4" t="n">
        <v>46298</v>
      </c>
      <c r="C13" s="7" t="n">
        <v>22.5</v>
      </c>
      <c r="D13" s="7" t="n">
        <v>0</v>
      </c>
      <c r="E13" s="8">
        <f>SUMIF($A$7:A13,A13,$C$7:C13)-SUMIF($A$7:A13,A13,$D$7:D13)</f>
        <v/>
      </c>
      <c r="F13" s="9">
        <f>$B$4-B13</f>
        <v/>
      </c>
      <c r="G13" s="10">
        <f>IF(D13&gt;0,"Paid",IF(F13&gt;30,"Old - send reminder","OK"))</f>
        <v/>
      </c>
    </row>
    <row r="14">
      <c r="A14" s="6" t="inlineStr">
        <is>
          <t>Aisha</t>
        </is>
      </c>
      <c r="B14" s="4" t="n">
        <v>46303</v>
      </c>
      <c r="C14" s="7" t="n">
        <v>0</v>
      </c>
      <c r="D14" s="7" t="n">
        <v>50</v>
      </c>
      <c r="E14" s="8">
        <f>SUMIF($A$7:A14,A14,$C$7:C14)-SUMIF($A$7:A14,A14,$D$7:D14)</f>
        <v/>
      </c>
      <c r="F14" s="9">
        <f>$B$4-B14</f>
        <v/>
      </c>
      <c r="G14" s="10">
        <f>IF(D14&gt;0,"Paid",IF(F14&gt;30,"Old - send reminder","OK"))</f>
        <v/>
      </c>
    </row>
    <row r="15">
      <c r="A15" s="6" t="inlineStr">
        <is>
          <t>David</t>
        </is>
      </c>
      <c r="B15" s="4" t="n">
        <v>46307</v>
      </c>
      <c r="C15" s="7" t="n">
        <v>0</v>
      </c>
      <c r="D15" s="7" t="n">
        <v>10</v>
      </c>
      <c r="E15" s="8">
        <f>SUMIF($A$7:A15,A15,$C$7:C15)-SUMIF($A$7:A15,A15,$D$7:D15)</f>
        <v/>
      </c>
      <c r="F15" s="9">
        <f>$B$4-B15</f>
        <v/>
      </c>
      <c r="G15" s="10">
        <f>IF(D15&gt;0,"Paid",IF(F15&gt;30,"Old - send reminder","OK"))</f>
        <v/>
      </c>
    </row>
    <row r="16">
      <c r="A16" s="6" t="inlineStr">
        <is>
          <t>Maria</t>
        </is>
      </c>
      <c r="B16" s="4" t="n">
        <v>46310</v>
      </c>
      <c r="C16" s="7" t="n">
        <v>0</v>
      </c>
      <c r="D16" s="7" t="n">
        <v>20</v>
      </c>
      <c r="E16" s="8">
        <f>SUMIF($A$7:A16,A16,$C$7:C16)-SUMIF($A$7:A16,A16,$D$7:D16)</f>
        <v/>
      </c>
      <c r="F16" s="9">
        <f>$B$4-B16</f>
        <v/>
      </c>
      <c r="G16" s="10">
        <f>IF(D16&gt;0,"Paid",IF(F16&gt;30,"Old - send reminder","OK"))</f>
        <v/>
      </c>
    </row>
  </sheetData>
  <conditionalFormatting sqref="G7:G40">
    <cfRule type="expression" priority="1" dxfId="0">
      <formula>$G7="Old - send reminder"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Customer Summary</t>
        </is>
      </c>
    </row>
    <row r="2">
      <c r="A2" s="2" t="inlineStr">
        <is>
          <t>Total credit, total paid, balance due</t>
        </is>
      </c>
    </row>
    <row r="4">
      <c r="A4" s="5" t="inlineStr">
        <is>
          <t>Customer</t>
        </is>
      </c>
      <c r="B4" s="5" t="inlineStr">
        <is>
          <t>Total Credit</t>
        </is>
      </c>
      <c r="C4" s="5" t="inlineStr">
        <is>
          <t>Total Paid</t>
        </is>
      </c>
      <c r="D4" s="5" t="inlineStr">
        <is>
          <t>Balance Due</t>
        </is>
      </c>
    </row>
    <row r="5">
      <c r="A5" s="6" t="inlineStr">
        <is>
          <t>Maria</t>
        </is>
      </c>
      <c r="B5" s="8">
        <f>SUMIF(Ledger!$A$7:$A$40,A5,Ledger!$C$7:$C$40)</f>
        <v/>
      </c>
      <c r="C5" s="8">
        <f>SUMIF(Ledger!$A$7:$A$40,A5,Ledger!$D$7:$D$40)</f>
        <v/>
      </c>
      <c r="D5" s="8">
        <f>B5-C5</f>
        <v/>
      </c>
    </row>
    <row r="6">
      <c r="A6" s="6" t="inlineStr">
        <is>
          <t>John</t>
        </is>
      </c>
      <c r="B6" s="8">
        <f>SUMIF(Ledger!$A$7:$A$40,A6,Ledger!$C$7:$C$40)</f>
        <v/>
      </c>
      <c r="C6" s="8">
        <f>SUMIF(Ledger!$A$7:$A$40,A6,Ledger!$D$7:$D$40)</f>
        <v/>
      </c>
      <c r="D6" s="8">
        <f>B6-C6</f>
        <v/>
      </c>
    </row>
    <row r="7">
      <c r="A7" s="6" t="inlineStr">
        <is>
          <t>Aisha</t>
        </is>
      </c>
      <c r="B7" s="8">
        <f>SUMIF(Ledger!$A$7:$A$40,A7,Ledger!$C$7:$C$40)</f>
        <v/>
      </c>
      <c r="C7" s="8">
        <f>SUMIF(Ledger!$A$7:$A$40,A7,Ledger!$D$7:$D$40)</f>
        <v/>
      </c>
      <c r="D7" s="8">
        <f>B7-C7</f>
        <v/>
      </c>
    </row>
    <row r="8">
      <c r="A8" s="6" t="inlineStr">
        <is>
          <t>David</t>
        </is>
      </c>
      <c r="B8" s="8">
        <f>SUMIF(Ledger!$A$7:$A$40,A8,Ledger!$C$7:$C$40)</f>
        <v/>
      </c>
      <c r="C8" s="8">
        <f>SUMIF(Ledger!$A$7:$A$40,A8,Ledger!$D$7:$D$40)</f>
        <v/>
      </c>
      <c r="D8" s="8">
        <f>B8-C8</f>
        <v/>
      </c>
    </row>
    <row r="9">
      <c r="A9" s="11" t="inlineStr">
        <is>
          <t>Total</t>
        </is>
      </c>
      <c r="B9" s="8">
        <f>SUM(B5:B8)</f>
        <v/>
      </c>
      <c r="C9" s="8">
        <f>SUM(C5:C8)</f>
        <v/>
      </c>
      <c r="D9" s="8">
        <f>SUM(D5:D8)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2026-10-30T07:24:57Z</dcterms:created>
  <dcterms:modified xmlns:dcterms="http://purl.org/dc/terms/" xmlns:xsi="http://www.w3.org/2001/XMLSchema-instance" xsi:type="dcterms:W3CDTF">2026-10-30T07:24:57Z</dcterms:modified>
</cp:coreProperties>
</file>