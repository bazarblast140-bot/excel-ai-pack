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1F6FEB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F2E3"/>
      </patternFill>
    </fill>
    <fill>
      <patternFill patternType="solid">
        <fgColor rgb="00FFF4C2"/>
      </patternFill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165" fontId="0" fillId="3" borderId="1" pivotButton="0" quotePrefix="0" xfId="0"/>
    <xf numFmtId="0" fontId="3" fillId="4" borderId="1" applyAlignment="1" pivotButton="0" quotePrefix="0" xfId="0">
      <alignment horizontal="center" wrapText="1"/>
    </xf>
    <xf numFmtId="166" fontId="0" fillId="3" borderId="1" pivotButton="0" quotePrefix="0" xfId="0"/>
    <xf numFmtId="166" fontId="0" fillId="2" borderId="1" pivotButton="0" quotePrefix="0" xfId="0"/>
    <xf numFmtId="9" fontId="0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" customWidth="1" min="3" max="3"/>
    <col width="10" customWidth="1" min="4" max="4"/>
    <col width="11" customWidth="1" min="5" max="5"/>
    <col width="7" customWidth="1" min="6" max="6"/>
    <col width="10" customWidth="1" min="7" max="7"/>
    <col width="12" customWidth="1" min="8" max="8"/>
  </cols>
  <sheetData>
    <row r="1">
      <c r="A1" s="1" t="inlineStr">
        <is>
          <t>Sales Invoice (with Tax / VAT)</t>
        </is>
      </c>
    </row>
    <row r="2">
      <c r="A2" s="2" t="inlineStr">
        <is>
          <t>Fill the yellow cells; tax and totals calculate automatically</t>
        </is>
      </c>
    </row>
    <row r="4">
      <c r="A4" s="3" t="inlineStr">
        <is>
          <t>Invoice No.</t>
        </is>
      </c>
      <c r="B4" s="4">
        <f>"INV-"&amp;TEXT(B6,"YYMMDD")&amp;"-"&amp;TEXT(B5,"000")</f>
        <v/>
      </c>
    </row>
    <row r="5">
      <c r="A5" s="3" t="inlineStr">
        <is>
          <t>Bill serial</t>
        </is>
      </c>
      <c r="B5" s="5" t="n">
        <v>27</v>
      </c>
    </row>
    <row r="6">
      <c r="A6" s="3" t="inlineStr">
        <is>
          <t>Date</t>
        </is>
      </c>
      <c r="B6" s="6" t="n">
        <v>46311</v>
      </c>
    </row>
    <row r="7">
      <c r="A7" s="3" t="inlineStr">
        <is>
          <t>Customer</t>
        </is>
      </c>
      <c r="B7" s="5" t="inlineStr">
        <is>
          <t>Bright Home Supplies</t>
        </is>
      </c>
    </row>
    <row r="10">
      <c r="A10" s="7" t="inlineStr">
        <is>
          <t>Description</t>
        </is>
      </c>
      <c r="B10" s="7" t="inlineStr">
        <is>
          <t>Item Code</t>
        </is>
      </c>
      <c r="C10" s="7" t="inlineStr">
        <is>
          <t>Qty</t>
        </is>
      </c>
      <c r="D10" s="7" t="inlineStr">
        <is>
          <t>Price</t>
        </is>
      </c>
      <c r="E10" s="7" t="inlineStr">
        <is>
          <t>Subtotal</t>
        </is>
      </c>
      <c r="F10" s="7" t="inlineStr">
        <is>
          <t>Tax %</t>
        </is>
      </c>
      <c r="G10" s="7" t="inlineStr">
        <is>
          <t>Tax</t>
        </is>
      </c>
      <c r="H10" s="7" t="inlineStr">
        <is>
          <t>Line Total</t>
        </is>
      </c>
    </row>
    <row r="11">
      <c r="A11" s="5" t="inlineStr">
        <is>
          <t>LED Bulb 9W</t>
        </is>
      </c>
      <c r="B11" s="5" t="inlineStr">
        <is>
          <t>LB-09</t>
        </is>
      </c>
      <c r="C11" s="5" t="n">
        <v>20</v>
      </c>
      <c r="D11" s="8" t="n">
        <v>2.5</v>
      </c>
      <c r="E11" s="9">
        <f>C11*D11</f>
        <v/>
      </c>
      <c r="F11" s="10" t="n">
        <v>0.1</v>
      </c>
      <c r="G11" s="9">
        <f>ROUND(E11*F11,2)</f>
        <v/>
      </c>
      <c r="H11" s="9">
        <f>E11+G11</f>
        <v/>
      </c>
    </row>
    <row r="12">
      <c r="A12" s="5" t="inlineStr">
        <is>
          <t>Extension Board</t>
        </is>
      </c>
      <c r="B12" s="5" t="inlineStr">
        <is>
          <t>EX-04</t>
        </is>
      </c>
      <c r="C12" s="5" t="n">
        <v>5</v>
      </c>
      <c r="D12" s="8" t="n">
        <v>9</v>
      </c>
      <c r="E12" s="9">
        <f>C12*D12</f>
        <v/>
      </c>
      <c r="F12" s="10" t="n">
        <v>0.1</v>
      </c>
      <c r="G12" s="9">
        <f>ROUND(E12*F12,2)</f>
        <v/>
      </c>
      <c r="H12" s="9">
        <f>E12+G12</f>
        <v/>
      </c>
    </row>
    <row r="13">
      <c r="A13" s="5" t="inlineStr">
        <is>
          <t>Copper Wire 90m</t>
        </is>
      </c>
      <c r="B13" s="5" t="inlineStr">
        <is>
          <t>CW-90</t>
        </is>
      </c>
      <c r="C13" s="5" t="n">
        <v>2</v>
      </c>
      <c r="D13" s="8" t="n">
        <v>42</v>
      </c>
      <c r="E13" s="9">
        <f>C13*D13</f>
        <v/>
      </c>
      <c r="F13" s="10" t="n">
        <v>0.1</v>
      </c>
      <c r="G13" s="9">
        <f>ROUND(E13*F13,2)</f>
        <v/>
      </c>
      <c r="H13" s="9">
        <f>E13+G13</f>
        <v/>
      </c>
    </row>
    <row r="14">
      <c r="A14" s="5" t="inlineStr">
        <is>
          <t>Switch (pack of 10)</t>
        </is>
      </c>
      <c r="B14" s="5" t="inlineStr">
        <is>
          <t>SW-10</t>
        </is>
      </c>
      <c r="C14" s="5" t="n">
        <v>3</v>
      </c>
      <c r="D14" s="8" t="n">
        <v>11</v>
      </c>
      <c r="E14" s="9">
        <f>C14*D14</f>
        <v/>
      </c>
      <c r="F14" s="10" t="n">
        <v>0.05</v>
      </c>
      <c r="G14" s="9">
        <f>ROUND(E14*F14,2)</f>
        <v/>
      </c>
      <c r="H14" s="9">
        <f>E14+G14</f>
        <v/>
      </c>
    </row>
    <row r="15">
      <c r="A15" s="5" t="inlineStr">
        <is>
          <t>Insulation Tape</t>
        </is>
      </c>
      <c r="B15" s="5" t="inlineStr">
        <is>
          <t>IT-01</t>
        </is>
      </c>
      <c r="C15" s="5" t="n">
        <v>10</v>
      </c>
      <c r="D15" s="8" t="n">
        <v>0.8</v>
      </c>
      <c r="E15" s="9">
        <f>C15*D15</f>
        <v/>
      </c>
      <c r="F15" s="10" t="n">
        <v>0.05</v>
      </c>
      <c r="G15" s="9">
        <f>ROUND(E15*F15,2)</f>
        <v/>
      </c>
      <c r="H15" s="9">
        <f>E15+G15</f>
        <v/>
      </c>
    </row>
    <row r="16">
      <c r="A16" s="11" t="inlineStr">
        <is>
          <t>Total</t>
        </is>
      </c>
      <c r="E16" s="9">
        <f>SUM(E11:E15)</f>
        <v/>
      </c>
      <c r="G16" s="9">
        <f>SUM(G11:G15)</f>
        <v/>
      </c>
      <c r="H16" s="9">
        <f>SUM(H11:H15)</f>
        <v/>
      </c>
    </row>
    <row r="18">
      <c r="A18" s="3" t="inlineStr">
        <is>
          <t>Round off</t>
        </is>
      </c>
      <c r="B18" s="9">
        <f>ROUND(ROUND(H16,0)-H16,2)</f>
        <v/>
      </c>
    </row>
    <row r="19">
      <c r="A19" s="3" t="inlineStr">
        <is>
          <t>Amount payable</t>
        </is>
      </c>
      <c r="B19" s="9">
        <f>ROUND(H16,0)</f>
        <v/>
      </c>
    </row>
    <row r="20">
      <c r="A20" s="3" t="inlineStr">
        <is>
          <t>Amount (text)</t>
        </is>
      </c>
      <c r="B20" s="4">
        <f>"USD "&amp;TEXT(B19,"#,##0.00")&amp;" only"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2026-10-30T07:24:57Z</dcterms:created>
  <dcterms:modified xmlns:dcterms="http://purl.org/dc/terms/" xmlns:xsi="http://www.w3.org/2001/XMLSchema-instance" xsi:type="dcterms:W3CDTF">2026-10-30T07:24:57Z</dcterms:modified>
</cp:coreProperties>
</file>